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iCloudDrive\Cand.Merc BI\Speciale\"/>
    </mc:Choice>
  </mc:AlternateContent>
  <xr:revisionPtr revIDLastSave="0" documentId="13_ncr:1_{64233657-C805-474B-90C9-4E5F3259C53F}" xr6:coauthVersionLast="47" xr6:coauthVersionMax="47" xr10:uidLastSave="{00000000-0000-0000-0000-000000000000}"/>
  <bookViews>
    <workbookView xWindow="28680" yWindow="-120" windowWidth="16440" windowHeight="28320" xr2:uid="{17860A22-7D68-4CAD-9203-492DA2544ABD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9" i="1" l="1"/>
  <c r="D38" i="1"/>
  <c r="D37" i="1"/>
  <c r="D36" i="1"/>
  <c r="D35" i="1"/>
  <c r="D33" i="1"/>
  <c r="D34" i="1"/>
  <c r="D32" i="1"/>
  <c r="D25" i="1"/>
  <c r="D45" i="1"/>
  <c r="D29" i="1"/>
  <c r="D30" i="1"/>
  <c r="D31" i="1"/>
  <c r="C41" i="1"/>
  <c r="B41" i="1"/>
  <c r="D28" i="1"/>
  <c r="D27" i="1"/>
  <c r="D11" i="1"/>
  <c r="D22" i="1"/>
  <c r="D26" i="1"/>
  <c r="D24" i="1"/>
  <c r="D23" i="1"/>
  <c r="D21" i="1"/>
  <c r="D4" i="1"/>
  <c r="D5" i="1"/>
  <c r="D6" i="1"/>
  <c r="D7" i="1"/>
  <c r="D8" i="1"/>
  <c r="D9" i="1"/>
  <c r="D10" i="1"/>
  <c r="D12" i="1"/>
  <c r="D13" i="1"/>
  <c r="D14" i="1"/>
  <c r="D15" i="1"/>
  <c r="D16" i="1"/>
  <c r="D17" i="1"/>
  <c r="D19" i="1"/>
  <c r="D20" i="1"/>
  <c r="D3" i="1"/>
  <c r="D4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Jonas Vestergaard</author>
  </authors>
  <commentList>
    <comment ref="A35" authorId="0" shapeId="0" xr:uid="{CED3F227-9801-4CD0-811B-AD4679D7B4D8}">
      <text>
        <r>
          <rPr>
            <b/>
            <sz val="9"/>
            <color indexed="81"/>
            <rFont val="Tahoma"/>
            <family val="2"/>
          </rPr>
          <t>Jonas Vestergaard:</t>
        </r>
        <r>
          <rPr>
            <sz val="9"/>
            <color indexed="81"/>
            <rFont val="Tahoma"/>
            <family val="2"/>
          </rPr>
          <t xml:space="preserve">
DINOv2 version is only base version and could be increased to large (similar to Model 3 V3 and see if the extra parameters provide any kind of improvement.</t>
        </r>
      </text>
    </comment>
    <comment ref="A36" authorId="0" shapeId="0" xr:uid="{0E9C89CD-CD40-4E42-97CC-AB77FFB10900}">
      <text>
        <r>
          <rPr>
            <b/>
            <sz val="9"/>
            <color indexed="81"/>
            <rFont val="Tahoma"/>
            <family val="2"/>
          </rPr>
          <t>Jonas Vestergaard:</t>
        </r>
        <r>
          <rPr>
            <sz val="9"/>
            <color indexed="81"/>
            <rFont val="Tahoma"/>
            <family val="2"/>
          </rPr>
          <t xml:space="preserve">
This model is basically the same as Model 23 but it makes use of DINOV2-large instead of the base model.</t>
        </r>
      </text>
    </comment>
  </commentList>
</comments>
</file>

<file path=xl/sharedStrings.xml><?xml version="1.0" encoding="utf-8"?>
<sst xmlns="http://schemas.openxmlformats.org/spreadsheetml/2006/main" count="57" uniqueCount="53">
  <si>
    <t>Model ID</t>
  </si>
  <si>
    <t>Loss</t>
  </si>
  <si>
    <t>MAE</t>
  </si>
  <si>
    <t>Model 1</t>
  </si>
  <si>
    <t>Model 2</t>
  </si>
  <si>
    <t>Model 2.5</t>
  </si>
  <si>
    <t>Model 2.5 V2</t>
  </si>
  <si>
    <t>Model 3</t>
  </si>
  <si>
    <t>Model 3 V2</t>
  </si>
  <si>
    <t>Model 3 V3 DINOv2</t>
  </si>
  <si>
    <t>Model 3 V4 DINOv3</t>
  </si>
  <si>
    <t>Model 3.5 (SWIN transformer)</t>
  </si>
  <si>
    <t>Model 4</t>
  </si>
  <si>
    <t>Model 5</t>
  </si>
  <si>
    <t>Model 5.5</t>
  </si>
  <si>
    <t>Model 5.5 V2</t>
  </si>
  <si>
    <t>Model 6</t>
  </si>
  <si>
    <t>Model 6 V2 DINOv2</t>
  </si>
  <si>
    <t>Model 7</t>
  </si>
  <si>
    <t>Model 8</t>
  </si>
  <si>
    <t>Model 9 V1</t>
  </si>
  <si>
    <t>RMSE</t>
  </si>
  <si>
    <t>PMAE</t>
  </si>
  <si>
    <t>Model 12 (RGB transformer + ingredient oracle)</t>
  </si>
  <si>
    <t>Model 11 (RGB transformer + Mass + ingredient oracle)</t>
  </si>
  <si>
    <t>Model 10 (RGB transformer + Mass oracle)</t>
  </si>
  <si>
    <t>Model 9 V2 (RGB + side angle image mass estimator)</t>
  </si>
  <si>
    <t>Problem dishes</t>
  </si>
  <si>
    <t>dish_1559172356</t>
  </si>
  <si>
    <t>dish_1564588719</t>
  </si>
  <si>
    <t>Model 3 V5 DINOv2 (with data aug)</t>
  </si>
  <si>
    <t>Model 13 RGB DINOv2 + Depth CNN attention fusion head</t>
  </si>
  <si>
    <t>*Model training for stage 2 was very unstable but there is possibility for improvement here.</t>
  </si>
  <si>
    <t>Model 14 RGB DINOv2 + Depth pretrained CNN + attention fusion head</t>
  </si>
  <si>
    <t>CARBOHYDRATE ESTIMATION</t>
  </si>
  <si>
    <t>MASS ESTIMATION</t>
  </si>
  <si>
    <t>Model 15 RGB DINOv2 + Depth DINOv3 + attention fusion head (raw depth images</t>
  </si>
  <si>
    <t>Model 16 RGB DINOv2 + Depth DINOv3 + attention fusion head (Color depth images)</t>
  </si>
  <si>
    <t>*NO RESULTS</t>
  </si>
  <si>
    <t>Model 17 From scratch transformer</t>
  </si>
  <si>
    <t>Model 18 DINOv3 (Overhead RGB only)</t>
  </si>
  <si>
    <t>Model 19 Combination of best mass and carbohydrate estimation models</t>
  </si>
  <si>
    <t>INGREDIENT ESTIMATION</t>
  </si>
  <si>
    <t>Model 20 (DINOv2 Base) ingredient estimator</t>
  </si>
  <si>
    <t>Accuracy</t>
  </si>
  <si>
    <t xml:space="preserve">Model 21 Combination of best mass + carbohydrate + ingredient estimation models with simple fusion head </t>
  </si>
  <si>
    <t>Model 22 Combination of best carbohydrate + ingredient estimator with simple fusion head</t>
  </si>
  <si>
    <t>Model 11 V2 (RGB + Mass + ingredient oracle attention fusion head.)</t>
  </si>
  <si>
    <t>Model 23 RDInet like model (RGB + depth colour combined through 3 layers (DINOv2 Base used))</t>
  </si>
  <si>
    <t>Model 24 RDInet like model (RGB + depth colour combined through 3 layers (DINOv2-large used))</t>
  </si>
  <si>
    <t>Model 25 RDInet carbohydrate estimator + mass estimator</t>
  </si>
  <si>
    <t>Model 26 RDInet carbohydrate estimator + ingredient estimator</t>
  </si>
  <si>
    <t>Model 27 RDInet carbohydrate estimator + ingredient estimator + mass estimator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</si>
</sst>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164" fontId="0" fillId="0" borderId="0" xfId="0" applyNumberFormat="1"/>
    <xf numFmtId="0" fontId="1" fillId="0" borderId="0" xfId="0" applyFont="1"/>
    <xf numFmtId="0" fontId="0" fillId="0" borderId="2" xfId="0" applyBorder="1"/>
    <xf numFmtId="0" fontId="2" fillId="2" borderId="2" xfId="0" applyFont="1" applyFill="1" applyBorder="1"/>
    <xf numFmtId="0" fontId="0" fillId="2" borderId="2" xfId="0" applyFill="1" applyBorder="1"/>
    <xf numFmtId="10" fontId="0" fillId="0" borderId="0" xfId="1" applyNumberFormat="1" applyFont="1"/>
  </cellXfs>
  <cellStyles count="2">
    <cellStyle name="Normal" xfId="0" builtinId="0"/>
    <cellStyle name="Procent" xfId="1" builtinId="5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50</xdr:row>
      <xdr:rowOff>104775</xdr:rowOff>
    </xdr:from>
    <xdr:to>
      <xdr:col>0</xdr:col>
      <xdr:colOff>2247900</xdr:colOff>
      <xdr:row>53</xdr:row>
      <xdr:rowOff>142874</xdr:rowOff>
    </xdr:to>
    <xdr:sp macro="" textlink="">
      <xdr:nvSpPr>
        <xdr:cNvPr id="2" name="Tekstfelt 1">
          <a:extLst>
            <a:ext uri="{FF2B5EF4-FFF2-40B4-BE49-F238E27FC236}">
              <a16:creationId xmlns:a16="http://schemas.microsoft.com/office/drawing/2014/main" id="{2C0288DC-45F4-07EE-4811-51BC657D52BC}"/>
            </a:ext>
          </a:extLst>
        </xdr:cNvPr>
        <xdr:cNvSpPr txBox="1"/>
      </xdr:nvSpPr>
      <xdr:spPr>
        <a:xfrm>
          <a:off x="19050" y="8677275"/>
          <a:ext cx="2228850" cy="609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/>
            <a:t>The</a:t>
          </a:r>
          <a:r>
            <a:rPr lang="da-DK" sz="1100" baseline="0"/>
            <a:t> loss of this model will be changed from regression to classification instead.</a:t>
          </a:r>
          <a:endParaRPr lang="da-DK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CAFBB-D46B-4212-A276-44A81146BD42}">
  <dimension ref="A1:F67"/>
  <sheetViews>
    <sheetView tabSelected="1" workbookViewId="0">
      <selection activeCell="A18" sqref="A18"/>
    </sheetView>
  </sheetViews>
  <sheetFormatPr defaultRowHeight="15" x14ac:dyDescent="0.25"/>
  <cols>
    <col min="1" max="1" width="95" customWidth="1"/>
  </cols>
  <sheetData>
    <row r="1" spans="1:5" x14ac:dyDescent="0.25">
      <c r="A1" s="5" t="s">
        <v>34</v>
      </c>
      <c r="B1" s="6"/>
      <c r="C1" s="6"/>
      <c r="D1" s="6"/>
      <c r="E1" s="6"/>
    </row>
    <row r="2" spans="1:5" x14ac:dyDescent="0.25">
      <c r="A2" t="s">
        <v>0</v>
      </c>
      <c r="B2" t="s">
        <v>1</v>
      </c>
      <c r="C2" t="s">
        <v>2</v>
      </c>
      <c r="D2" t="s">
        <v>21</v>
      </c>
      <c r="E2" t="s">
        <v>22</v>
      </c>
    </row>
    <row r="3" spans="1:5" x14ac:dyDescent="0.25">
      <c r="A3" t="s">
        <v>3</v>
      </c>
      <c r="B3">
        <v>218.01580000000001</v>
      </c>
      <c r="C3">
        <v>10.7067</v>
      </c>
      <c r="D3">
        <f>SQRT(B3)</f>
        <v>14.765358106053506</v>
      </c>
    </row>
    <row r="4" spans="1:5" x14ac:dyDescent="0.25">
      <c r="A4" t="s">
        <v>4</v>
      </c>
      <c r="B4">
        <v>86.58</v>
      </c>
      <c r="C4">
        <v>6.4522000000000004</v>
      </c>
      <c r="D4">
        <f t="shared" ref="D4:D22" si="0">SQRT(B4)</f>
        <v>9.3048374515624932</v>
      </c>
    </row>
    <row r="5" spans="1:5" x14ac:dyDescent="0.25">
      <c r="A5" t="s">
        <v>5</v>
      </c>
      <c r="B5">
        <v>106.32689999999999</v>
      </c>
      <c r="C5">
        <v>6.9501999999999997</v>
      </c>
      <c r="D5">
        <f t="shared" si="0"/>
        <v>10.311493587254953</v>
      </c>
    </row>
    <row r="6" spans="1:5" x14ac:dyDescent="0.25">
      <c r="A6" t="s">
        <v>6</v>
      </c>
      <c r="B6">
        <v>66.192700000000002</v>
      </c>
      <c r="C6">
        <v>5.3144999999999998</v>
      </c>
      <c r="D6">
        <f t="shared" si="0"/>
        <v>8.1358896256033368</v>
      </c>
    </row>
    <row r="7" spans="1:5" x14ac:dyDescent="0.25">
      <c r="A7" t="s">
        <v>7</v>
      </c>
      <c r="B7">
        <v>73.174499999999995</v>
      </c>
      <c r="C7">
        <v>6.0148999999999999</v>
      </c>
      <c r="D7">
        <f t="shared" si="0"/>
        <v>8.5542094900697858</v>
      </c>
    </row>
    <row r="8" spans="1:5" x14ac:dyDescent="0.25">
      <c r="A8" t="s">
        <v>8</v>
      </c>
      <c r="B8">
        <v>62.957999999999998</v>
      </c>
      <c r="C8">
        <v>5.3268000000000004</v>
      </c>
      <c r="D8">
        <f t="shared" si="0"/>
        <v>7.9346077407771078</v>
      </c>
    </row>
    <row r="9" spans="1:5" x14ac:dyDescent="0.25">
      <c r="A9" t="s">
        <v>9</v>
      </c>
      <c r="B9">
        <v>57.265900000000002</v>
      </c>
      <c r="C9">
        <v>4.7652999999999999</v>
      </c>
      <c r="D9">
        <f t="shared" si="0"/>
        <v>7.5674236038429887</v>
      </c>
      <c r="E9" s="2">
        <v>24.209800000000001</v>
      </c>
    </row>
    <row r="10" spans="1:5" x14ac:dyDescent="0.25">
      <c r="A10" t="s">
        <v>10</v>
      </c>
      <c r="B10">
        <v>57.436999999999998</v>
      </c>
      <c r="C10">
        <v>5.2938999999999998</v>
      </c>
      <c r="D10">
        <f t="shared" si="0"/>
        <v>7.5787202085840324</v>
      </c>
    </row>
    <row r="11" spans="1:5" x14ac:dyDescent="0.25">
      <c r="A11" t="s">
        <v>30</v>
      </c>
      <c r="B11">
        <v>70.5732</v>
      </c>
      <c r="C11">
        <v>5.0766</v>
      </c>
      <c r="D11">
        <f t="shared" si="0"/>
        <v>8.4007856775423093</v>
      </c>
    </row>
    <row r="12" spans="1:5" x14ac:dyDescent="0.25">
      <c r="A12" t="s">
        <v>11</v>
      </c>
      <c r="B12">
        <v>89.490499999999997</v>
      </c>
      <c r="C12">
        <v>6.2449000000000003</v>
      </c>
      <c r="D12">
        <f t="shared" si="0"/>
        <v>9.4599418602864578</v>
      </c>
    </row>
    <row r="13" spans="1:5" x14ac:dyDescent="0.25">
      <c r="A13" t="s">
        <v>12</v>
      </c>
      <c r="B13">
        <v>127.22280000000001</v>
      </c>
      <c r="C13">
        <v>8.3040000000000003</v>
      </c>
      <c r="D13">
        <f t="shared" si="0"/>
        <v>11.279308489442073</v>
      </c>
    </row>
    <row r="14" spans="1:5" x14ac:dyDescent="0.25">
      <c r="A14" t="s">
        <v>13</v>
      </c>
      <c r="B14">
        <v>93.571100000000001</v>
      </c>
      <c r="C14">
        <v>6.5468999999999999</v>
      </c>
      <c r="D14">
        <f t="shared" si="0"/>
        <v>9.6732155977213701</v>
      </c>
    </row>
    <row r="15" spans="1:5" x14ac:dyDescent="0.25">
      <c r="A15" t="s">
        <v>14</v>
      </c>
      <c r="B15">
        <v>72.436099999999996</v>
      </c>
      <c r="C15">
        <v>5.3114999999999997</v>
      </c>
      <c r="D15">
        <f t="shared" si="0"/>
        <v>8.5109400185878403</v>
      </c>
    </row>
    <row r="16" spans="1:5" x14ac:dyDescent="0.25">
      <c r="A16" t="s">
        <v>15</v>
      </c>
      <c r="B16">
        <v>88.384900000000002</v>
      </c>
      <c r="C16">
        <v>5.2595999999999998</v>
      </c>
      <c r="D16">
        <f t="shared" si="0"/>
        <v>9.4013243747889046</v>
      </c>
    </row>
    <row r="17" spans="1:6" x14ac:dyDescent="0.25">
      <c r="A17" t="s">
        <v>16</v>
      </c>
      <c r="B17">
        <v>63.872100000000003</v>
      </c>
      <c r="C17">
        <v>5.2291999999999996</v>
      </c>
      <c r="D17">
        <f t="shared" si="0"/>
        <v>7.9920022522519352</v>
      </c>
    </row>
    <row r="18" spans="1:6" x14ac:dyDescent="0.25">
      <c r="A18" t="s">
        <v>17</v>
      </c>
    </row>
    <row r="19" spans="1:6" x14ac:dyDescent="0.25">
      <c r="A19" t="s">
        <v>18</v>
      </c>
      <c r="B19">
        <v>156.94200000000001</v>
      </c>
      <c r="C19">
        <v>9.1586999999999996</v>
      </c>
      <c r="D19">
        <f t="shared" si="0"/>
        <v>12.527649420382101</v>
      </c>
    </row>
    <row r="20" spans="1:6" x14ac:dyDescent="0.25">
      <c r="A20" t="s">
        <v>19</v>
      </c>
      <c r="B20">
        <v>131.22790000000001</v>
      </c>
      <c r="C20">
        <v>7.0723000000000003</v>
      </c>
      <c r="D20">
        <f t="shared" si="0"/>
        <v>11.45547467370951</v>
      </c>
    </row>
    <row r="21" spans="1:6" x14ac:dyDescent="0.25">
      <c r="A21" t="s">
        <v>20</v>
      </c>
      <c r="B21">
        <v>193.16030000000001</v>
      </c>
      <c r="C21">
        <v>6.2374000000000001</v>
      </c>
      <c r="D21">
        <f t="shared" si="0"/>
        <v>13.898212115232663</v>
      </c>
    </row>
    <row r="22" spans="1:6" x14ac:dyDescent="0.25">
      <c r="A22" t="s">
        <v>26</v>
      </c>
      <c r="B22">
        <v>71.5792</v>
      </c>
      <c r="C22">
        <v>5.3396999999999997</v>
      </c>
      <c r="D22">
        <f t="shared" si="0"/>
        <v>8.4604491606533507</v>
      </c>
      <c r="E22">
        <v>25.985399999999998</v>
      </c>
    </row>
    <row r="23" spans="1:6" x14ac:dyDescent="0.25">
      <c r="A23" t="s">
        <v>25</v>
      </c>
      <c r="B23">
        <v>53.767899999999997</v>
      </c>
      <c r="C23">
        <v>4.7847</v>
      </c>
      <c r="D23">
        <f t="shared" ref="D23:D28" si="1">SQRT(B23)</f>
        <v>7.3326598175559727</v>
      </c>
      <c r="E23">
        <v>24.3078</v>
      </c>
    </row>
    <row r="24" spans="1:6" x14ac:dyDescent="0.25">
      <c r="A24" t="s">
        <v>24</v>
      </c>
      <c r="B24">
        <v>44.950200000000002</v>
      </c>
      <c r="C24">
        <v>4.0446</v>
      </c>
      <c r="D24">
        <f t="shared" si="1"/>
        <v>6.7044910321365929</v>
      </c>
      <c r="E24">
        <v>20.882899999999999</v>
      </c>
    </row>
    <row r="25" spans="1:6" x14ac:dyDescent="0.25">
      <c r="A25" t="s">
        <v>47</v>
      </c>
      <c r="B25">
        <v>48.992100000000001</v>
      </c>
      <c r="C25">
        <v>4.5367689999999996</v>
      </c>
      <c r="D25">
        <f t="shared" si="1"/>
        <v>6.9994356915397118</v>
      </c>
      <c r="E25">
        <v>28.834599999999998</v>
      </c>
    </row>
    <row r="26" spans="1:6" x14ac:dyDescent="0.25">
      <c r="A26" t="s">
        <v>23</v>
      </c>
      <c r="B26">
        <v>55.998100000000001</v>
      </c>
      <c r="C26">
        <v>4.8878000000000004</v>
      </c>
      <c r="D26">
        <f t="shared" si="1"/>
        <v>7.4831878233811562</v>
      </c>
      <c r="E26">
        <v>29.5337</v>
      </c>
    </row>
    <row r="27" spans="1:6" x14ac:dyDescent="0.25">
      <c r="A27" t="s">
        <v>31</v>
      </c>
      <c r="B27">
        <v>75.341700000000003</v>
      </c>
      <c r="C27">
        <v>5.7462999999999997</v>
      </c>
      <c r="D27">
        <f t="shared" si="1"/>
        <v>8.6799596773256962</v>
      </c>
      <c r="F27" t="s">
        <v>32</v>
      </c>
    </row>
    <row r="28" spans="1:6" x14ac:dyDescent="0.25">
      <c r="A28" t="s">
        <v>33</v>
      </c>
      <c r="B28">
        <v>85.885499999999993</v>
      </c>
      <c r="C28">
        <v>6.0217999999999998</v>
      </c>
      <c r="D28">
        <f t="shared" si="1"/>
        <v>9.2674430130430263</v>
      </c>
    </row>
    <row r="29" spans="1:6" x14ac:dyDescent="0.25">
      <c r="A29" t="s">
        <v>36</v>
      </c>
      <c r="B29" t="s">
        <v>38</v>
      </c>
      <c r="D29" t="e">
        <f t="shared" ref="D29:D33" si="2">SQRT(B29)</f>
        <v>#VALUE!</v>
      </c>
    </row>
    <row r="30" spans="1:6" x14ac:dyDescent="0.25">
      <c r="A30" t="s">
        <v>37</v>
      </c>
      <c r="B30">
        <v>206.46209999999999</v>
      </c>
      <c r="C30">
        <v>9.9595000000000002</v>
      </c>
      <c r="D30">
        <f t="shared" si="2"/>
        <v>14.368789093030768</v>
      </c>
    </row>
    <row r="31" spans="1:6" x14ac:dyDescent="0.25">
      <c r="A31" t="s">
        <v>39</v>
      </c>
      <c r="B31">
        <v>232.74950000000001</v>
      </c>
      <c r="C31">
        <v>10.866899999999999</v>
      </c>
      <c r="D31">
        <f t="shared" si="2"/>
        <v>15.256129915545424</v>
      </c>
    </row>
    <row r="32" spans="1:6" x14ac:dyDescent="0.25">
      <c r="A32" t="s">
        <v>41</v>
      </c>
      <c r="B32">
        <v>68.819699999999997</v>
      </c>
      <c r="C32">
        <v>5.2222999999999997</v>
      </c>
      <c r="D32">
        <f t="shared" si="2"/>
        <v>8.2957639792848497</v>
      </c>
    </row>
    <row r="33" spans="1:5" x14ac:dyDescent="0.25">
      <c r="A33" t="s">
        <v>45</v>
      </c>
      <c r="B33">
        <v>71.837400000000002</v>
      </c>
      <c r="C33">
        <v>5.2866</v>
      </c>
      <c r="D33">
        <f t="shared" si="2"/>
        <v>8.4756946617961653</v>
      </c>
    </row>
    <row r="34" spans="1:5" x14ac:dyDescent="0.25">
      <c r="A34" t="s">
        <v>46</v>
      </c>
      <c r="B34">
        <v>50.892932999999999</v>
      </c>
      <c r="C34">
        <v>4.6186860000000003</v>
      </c>
      <c r="D34">
        <f>SQRT(B34)</f>
        <v>7.1339283007330536</v>
      </c>
      <c r="E34">
        <v>23.464642999999999</v>
      </c>
    </row>
    <row r="35" spans="1:5" x14ac:dyDescent="0.25">
      <c r="A35" t="s">
        <v>48</v>
      </c>
      <c r="B35">
        <v>55.817585000000001</v>
      </c>
      <c r="C35">
        <v>4.5983049999999999</v>
      </c>
      <c r="D35">
        <f>SQRT(B35)</f>
        <v>7.4711167170644579</v>
      </c>
      <c r="E35">
        <v>23.361104000000001</v>
      </c>
    </row>
    <row r="36" spans="1:5" x14ac:dyDescent="0.25">
      <c r="A36" t="s">
        <v>49</v>
      </c>
      <c r="B36">
        <v>53.892200000000003</v>
      </c>
      <c r="C36">
        <v>4.7191000000000001</v>
      </c>
      <c r="D36">
        <f>SQRT(B36)</f>
        <v>7.3411307031001707</v>
      </c>
      <c r="E36">
        <v>24.182918999999998</v>
      </c>
    </row>
    <row r="37" spans="1:5" x14ac:dyDescent="0.25">
      <c r="A37" t="s">
        <v>50</v>
      </c>
      <c r="B37">
        <v>55.001998999999998</v>
      </c>
      <c r="C37">
        <v>4.9486369999999997</v>
      </c>
      <c r="D37">
        <f>SQRT(B37)</f>
        <v>7.4163332584235988</v>
      </c>
    </row>
    <row r="38" spans="1:5" x14ac:dyDescent="0.25">
      <c r="A38" t="s">
        <v>51</v>
      </c>
      <c r="B38">
        <v>53.029980000000002</v>
      </c>
      <c r="C38">
        <v>4.7144979999999999</v>
      </c>
      <c r="D38">
        <f>SQRT(B38)</f>
        <v>7.2821686330378261</v>
      </c>
    </row>
    <row r="39" spans="1:5" x14ac:dyDescent="0.25">
      <c r="A39" t="s">
        <v>52</v>
      </c>
      <c r="B39">
        <v>58.736553000000001</v>
      </c>
      <c r="C39">
        <v>5.124676</v>
      </c>
      <c r="D39">
        <f>SQRT(B39)</f>
        <v>7.6639776226186882</v>
      </c>
    </row>
    <row r="40" spans="1:5" x14ac:dyDescent="0.25">
      <c r="A40" s="4"/>
    </row>
    <row r="41" spans="1:5" x14ac:dyDescent="0.25">
      <c r="B41" s="1">
        <f>MIN(B3:B28)</f>
        <v>44.950200000000002</v>
      </c>
      <c r="C41" s="1">
        <f>MIN(C3:C28)</f>
        <v>4.0446</v>
      </c>
      <c r="D41" s="1">
        <f>MIN(D3:D28)</f>
        <v>6.7044910321365929</v>
      </c>
    </row>
    <row r="43" spans="1:5" x14ac:dyDescent="0.25">
      <c r="A43" s="5" t="s">
        <v>35</v>
      </c>
      <c r="B43" s="6"/>
      <c r="C43" s="6"/>
      <c r="D43" s="6"/>
    </row>
    <row r="44" spans="1:5" x14ac:dyDescent="0.25">
      <c r="B44" t="s">
        <v>1</v>
      </c>
      <c r="C44" t="s">
        <v>2</v>
      </c>
      <c r="D44" t="s">
        <v>21</v>
      </c>
    </row>
    <row r="45" spans="1:5" x14ac:dyDescent="0.25">
      <c r="A45" t="s">
        <v>40</v>
      </c>
      <c r="B45">
        <v>1944.3548000000001</v>
      </c>
      <c r="C45">
        <v>27.825099999999999</v>
      </c>
      <c r="D45">
        <f>SQRT(B45)</f>
        <v>44.094838700237922</v>
      </c>
    </row>
    <row r="48" spans="1:5" x14ac:dyDescent="0.25">
      <c r="A48" s="5" t="s">
        <v>42</v>
      </c>
      <c r="B48" s="6"/>
      <c r="C48" s="6"/>
      <c r="D48" s="6"/>
    </row>
    <row r="49" spans="1:3" x14ac:dyDescent="0.25">
      <c r="B49" t="s">
        <v>1</v>
      </c>
      <c r="C49" t="s">
        <v>44</v>
      </c>
    </row>
    <row r="50" spans="1:3" x14ac:dyDescent="0.25">
      <c r="A50" t="s">
        <v>43</v>
      </c>
      <c r="B50">
        <v>7.1410000000000001E-2</v>
      </c>
      <c r="C50">
        <v>0.97435899999999998</v>
      </c>
    </row>
    <row r="55" spans="1:3" ht="15.75" x14ac:dyDescent="0.25">
      <c r="A55" s="3" t="s">
        <v>27</v>
      </c>
    </row>
    <row r="56" spans="1:3" x14ac:dyDescent="0.25">
      <c r="A56" t="s">
        <v>28</v>
      </c>
    </row>
    <row r="57" spans="1:3" x14ac:dyDescent="0.25">
      <c r="A57" t="s">
        <v>29</v>
      </c>
    </row>
    <row r="67" spans="3:3" x14ac:dyDescent="0.25">
      <c r="C67" s="7"/>
    </row>
  </sheetData>
  <conditionalFormatting sqref="B3:B40">
    <cfRule type="cellIs" dxfId="2" priority="9" operator="equal">
      <formula>$B$41</formula>
    </cfRule>
  </conditionalFormatting>
  <conditionalFormatting sqref="C3:C40">
    <cfRule type="cellIs" dxfId="1" priority="11" operator="equal">
      <formula>$C$41</formula>
    </cfRule>
  </conditionalFormatting>
  <conditionalFormatting sqref="D3:D40">
    <cfRule type="cellIs" dxfId="0" priority="13" operator="equal">
      <formula>$D$41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Vestergaard</dc:creator>
  <cp:lastModifiedBy>Jonas Vestergaard</cp:lastModifiedBy>
  <dcterms:created xsi:type="dcterms:W3CDTF">2026-04-09T14:57:42Z</dcterms:created>
  <dcterms:modified xsi:type="dcterms:W3CDTF">2026-05-09T23:11:31Z</dcterms:modified>
</cp:coreProperties>
</file>