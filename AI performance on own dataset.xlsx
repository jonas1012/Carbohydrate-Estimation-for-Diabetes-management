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iCloudDrive\Cand.Merc BI\Speciale\Egen test dataset\"/>
    </mc:Choice>
  </mc:AlternateContent>
  <xr:revisionPtr revIDLastSave="0" documentId="13_ncr:1_{9BC83267-09AC-4EEE-8F31-C4C12D8866A3}" xr6:coauthVersionLast="47" xr6:coauthVersionMax="47" xr10:uidLastSave="{00000000-0000-0000-0000-000000000000}"/>
  <bookViews>
    <workbookView xWindow="-110" yWindow="-110" windowWidth="22620" windowHeight="13500" xr2:uid="{5FA9B220-2E11-4FB8-AEEA-21724CDFD1D2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4" i="1" l="1" a="1"/>
  <c r="R4" i="1" s="1"/>
  <c r="R3" i="1"/>
  <c r="R2" i="1" a="1"/>
  <c r="R2" i="1" s="1"/>
  <c r="H64" i="1"/>
  <c r="C67" i="1"/>
  <c r="D67" i="1"/>
  <c r="E67" i="1"/>
  <c r="F67" i="1"/>
  <c r="G67" i="1"/>
  <c r="H67" i="1"/>
  <c r="I67" i="1"/>
  <c r="B67" i="1"/>
  <c r="C66" i="1"/>
  <c r="D66" i="1"/>
  <c r="E66" i="1"/>
  <c r="F66" i="1"/>
  <c r="G66" i="1"/>
  <c r="H66" i="1"/>
  <c r="I66" i="1"/>
  <c r="B66" i="1"/>
  <c r="C65" i="1"/>
  <c r="D65" i="1"/>
  <c r="E65" i="1"/>
  <c r="F65" i="1"/>
  <c r="G65" i="1"/>
  <c r="H65" i="1"/>
  <c r="I65" i="1"/>
  <c r="B65" i="1"/>
  <c r="Q2" i="1" a="1"/>
  <c r="Q2" i="1" s="1"/>
  <c r="Q3" i="1" s="1"/>
  <c r="G64" i="1"/>
  <c r="I64" i="1"/>
  <c r="O4" i="1" a="1"/>
  <c r="O4" i="1" s="1"/>
  <c r="P4" i="1" a="1"/>
  <c r="P4" i="1" s="1"/>
  <c r="Q4" i="1" a="1"/>
  <c r="Q4" i="1" s="1"/>
  <c r="P2" i="1" l="1" a="1"/>
  <c r="P2" i="1" s="1"/>
  <c r="P3" i="1" s="1"/>
  <c r="F64" i="1"/>
  <c r="M4" i="1" a="1"/>
  <c r="M4" i="1" s="1"/>
  <c r="M2" i="1" a="1"/>
  <c r="M2" i="1" s="1"/>
  <c r="M3" i="1" s="1"/>
  <c r="C64" i="1"/>
  <c r="O2" i="1" a="1"/>
  <c r="O2" i="1" s="1"/>
  <c r="O3" i="1" s="1"/>
  <c r="E64" i="1"/>
  <c r="N4" i="1" a="1"/>
  <c r="N4" i="1" s="1"/>
  <c r="L4" i="1" a="1"/>
  <c r="L4" i="1" s="1"/>
  <c r="L2" i="1" a="1"/>
  <c r="L2" i="1" s="1"/>
  <c r="L3" i="1" s="1"/>
  <c r="B64" i="1"/>
  <c r="D64" i="1"/>
  <c r="N2" i="1" a="1"/>
  <c r="N2" i="1" s="1"/>
  <c r="N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<sst xmlns="http://schemas.openxmlformats.org/spreadsheetml/2006/main" count="85" uniqueCount="84">
  <si>
    <t>Dish_ID</t>
  </si>
  <si>
    <t>OPEN AI ESTIMATION</t>
  </si>
  <si>
    <t>CLAUDE ESTIMATION (HAIKU 4.5)</t>
  </si>
  <si>
    <t xml:space="preserve">GEMINI ESTIMATION </t>
  </si>
  <si>
    <t>ACTUAL</t>
  </si>
  <si>
    <t>OPEN AI</t>
  </si>
  <si>
    <t>CLAUDE</t>
  </si>
  <si>
    <t>GEMINI</t>
  </si>
  <si>
    <t>MSE</t>
  </si>
  <si>
    <t>RMSE</t>
  </si>
  <si>
    <t>MAE</t>
  </si>
  <si>
    <t>Dish_0001</t>
  </si>
  <si>
    <t>Dish_0002</t>
  </si>
  <si>
    <t>Dish_0003</t>
  </si>
  <si>
    <t>Dish_0004</t>
  </si>
  <si>
    <t>Dish_0005</t>
  </si>
  <si>
    <t>Dish_0006</t>
  </si>
  <si>
    <t>Dish_0007</t>
  </si>
  <si>
    <t>Dish_0008</t>
  </si>
  <si>
    <t>Dish_0009</t>
  </si>
  <si>
    <t>Dish_0010</t>
  </si>
  <si>
    <t>Dish_0011</t>
  </si>
  <si>
    <t>Dish_0012</t>
  </si>
  <si>
    <t>Dish_0013</t>
  </si>
  <si>
    <t>Dish_0014</t>
  </si>
  <si>
    <t>Dish_0015</t>
  </si>
  <si>
    <t>Dish_0016</t>
  </si>
  <si>
    <t>Dish_0017</t>
  </si>
  <si>
    <t>Dish_0018</t>
  </si>
  <si>
    <t>Dish_0019</t>
  </si>
  <si>
    <t>Dish_0020</t>
  </si>
  <si>
    <t>Dish_0021</t>
  </si>
  <si>
    <t>Dish_0022</t>
  </si>
  <si>
    <t>Dish_0023</t>
  </si>
  <si>
    <t>Dish_0024</t>
  </si>
  <si>
    <t>Dish_0025</t>
  </si>
  <si>
    <t>Dish_0026</t>
  </si>
  <si>
    <t>Dish_0027</t>
  </si>
  <si>
    <t>Dish_0028</t>
  </si>
  <si>
    <t>Dish_0029</t>
  </si>
  <si>
    <t>Dish_0030</t>
  </si>
  <si>
    <t>Dish_0031</t>
  </si>
  <si>
    <t>Dish_0032</t>
  </si>
  <si>
    <t>Dish_0033</t>
  </si>
  <si>
    <t>Dish_0034</t>
  </si>
  <si>
    <t>Dish_0035</t>
  </si>
  <si>
    <t>Dish_0036</t>
  </si>
  <si>
    <t>Dish_0037</t>
  </si>
  <si>
    <t>Dish_0038</t>
  </si>
  <si>
    <t>Dish_0039</t>
  </si>
  <si>
    <t>Dish_0040</t>
  </si>
  <si>
    <t>Dish_0041</t>
  </si>
  <si>
    <t>Dish_0042</t>
  </si>
  <si>
    <t>Dish_0043</t>
  </si>
  <si>
    <t>Dish_0044</t>
  </si>
  <si>
    <t>Dish_0045</t>
  </si>
  <si>
    <t>Dish_0046</t>
  </si>
  <si>
    <t>Dish_0047</t>
  </si>
  <si>
    <t>Dish_0048</t>
  </si>
  <si>
    <t>Dish_0049</t>
  </si>
  <si>
    <t>Dish_0050</t>
  </si>
  <si>
    <t>Dish_0051</t>
  </si>
  <si>
    <t>Dish_0052</t>
  </si>
  <si>
    <t>Dish_0053</t>
  </si>
  <si>
    <t>Dish_0054</t>
  </si>
  <si>
    <t>Dish_0055</t>
  </si>
  <si>
    <t>Dish_0056</t>
  </si>
  <si>
    <t>Dish_0057</t>
  </si>
  <si>
    <t>Dish_0058</t>
  </si>
  <si>
    <t>Dish_0059</t>
  </si>
  <si>
    <t>Dish_0060</t>
  </si>
  <si>
    <t>Dish_0061</t>
  </si>
  <si>
    <t>Dish_0062</t>
  </si>
  <si>
    <t>Model 3 V3 performance</t>
  </si>
  <si>
    <t>Model 22 performance</t>
  </si>
  <si>
    <t>Model 24 performance</t>
  </si>
  <si>
    <t>Average</t>
  </si>
  <si>
    <t>Model 3 V3</t>
  </si>
  <si>
    <t>Model 22</t>
  </si>
  <si>
    <t>Model 24</t>
  </si>
  <si>
    <t>Model 3 V5 (data aug)</t>
  </si>
  <si>
    <t>Min</t>
  </si>
  <si>
    <t>Max</t>
  </si>
  <si>
    <t>Varians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</si>
</sst>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778E8-AC1B-4810-9FBA-059E07F95821}">
  <dimension ref="A1:R67"/>
  <sheetViews>
    <sheetView tabSelected="1" topLeftCell="E1" workbookViewId="0">
      <selection activeCell="R2" sqref="R2"/>
    </sheetView>
  </sheetViews>
  <sheetFormatPr defaultRowHeight="14.5" x14ac:dyDescent="0.35"/>
  <cols>
    <col min="1" max="1" width="16.26953125" customWidth="1"/>
    <col min="2" max="2" width="20.54296875" customWidth="1"/>
    <col min="3" max="3" width="28.36328125" customWidth="1"/>
    <col min="4" max="8" width="21.26953125" customWidth="1"/>
    <col min="9" max="9" width="11.26953125" customWidth="1"/>
    <col min="15" max="15" width="12.7265625" customWidth="1"/>
    <col min="16" max="16" width="9.179687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73</v>
      </c>
      <c r="F1" t="s">
        <v>74</v>
      </c>
      <c r="G1" t="s">
        <v>75</v>
      </c>
      <c r="H1" t="s">
        <v>80</v>
      </c>
      <c r="I1" t="s">
        <v>4</v>
      </c>
      <c r="L1" t="s">
        <v>5</v>
      </c>
      <c r="M1" t="s">
        <v>6</v>
      </c>
      <c r="N1" t="s">
        <v>7</v>
      </c>
      <c r="O1" t="s">
        <v>77</v>
      </c>
      <c r="P1" t="s">
        <v>78</v>
      </c>
      <c r="Q1" t="s">
        <v>79</v>
      </c>
      <c r="R1" t="s">
        <v>80</v>
      </c>
    </row>
    <row r="2" spans="1:18" x14ac:dyDescent="0.35">
      <c r="A2" t="s">
        <v>11</v>
      </c>
      <c r="B2" s="1">
        <v>40</v>
      </c>
      <c r="C2" s="1">
        <v>28.5</v>
      </c>
      <c r="D2" s="1">
        <v>35</v>
      </c>
      <c r="E2" s="1">
        <v>50.17</v>
      </c>
      <c r="F2" s="1">
        <v>51.4</v>
      </c>
      <c r="G2" s="1">
        <v>49.09</v>
      </c>
      <c r="H2" s="1">
        <v>27.35</v>
      </c>
      <c r="I2">
        <v>67.599999999999994</v>
      </c>
      <c r="K2" s="1" t="s">
        <v>8</v>
      </c>
      <c r="L2" s="1" cm="1">
        <f t="array" ref="L2">AVERAGE((B2:B63-I2:I63)^2)</f>
        <v>240.84463690483872</v>
      </c>
      <c r="M2" cm="1">
        <f t="array" ref="M2">AVERAGE((C2:C63-I2:I63)^2)</f>
        <v>551.06614625967723</v>
      </c>
      <c r="N2" cm="1">
        <f t="array" ref="N2">AVERAGE((D2:D63-I2:I63)^2)</f>
        <v>319.37379884032259</v>
      </c>
      <c r="O2" s="1" cm="1">
        <f t="array" ref="O2">AVERAGE((E2:E63-I2:I63)^2)</f>
        <v>768.31331980806465</v>
      </c>
      <c r="P2" s="1" cm="1">
        <f t="array" ref="P2">AVERAGE((F2:F63-I2:I63)^2)</f>
        <v>767.28949884032249</v>
      </c>
      <c r="Q2" s="1" cm="1">
        <f t="array" ref="Q2">AVERAGE((G2:G63-I2:I63)^2)</f>
        <v>481.69258416825858</v>
      </c>
      <c r="R2" s="1" cm="1">
        <f t="array" ref="R2">AVERAGE((H2:H63-I2:I63)^2)</f>
        <v>625.25331393709666</v>
      </c>
    </row>
    <row r="3" spans="1:18" x14ac:dyDescent="0.35">
      <c r="A3" t="s">
        <v>12</v>
      </c>
      <c r="B3" s="1">
        <v>45</v>
      </c>
      <c r="C3" s="1">
        <v>42.5</v>
      </c>
      <c r="D3" s="1">
        <v>42</v>
      </c>
      <c r="E3" s="1">
        <v>36.03</v>
      </c>
      <c r="F3" s="1">
        <v>38.700000000000003</v>
      </c>
      <c r="G3" s="1">
        <v>40.4375</v>
      </c>
      <c r="H3" s="1">
        <v>25.62</v>
      </c>
      <c r="I3">
        <v>71.72</v>
      </c>
      <c r="K3" s="1" t="s">
        <v>9</v>
      </c>
      <c r="L3" s="1">
        <f t="shared" ref="L3:Q3" si="0">SQRT(L2)</f>
        <v>15.519169981182587</v>
      </c>
      <c r="M3">
        <f t="shared" si="0"/>
        <v>23.474798109029123</v>
      </c>
      <c r="N3">
        <f t="shared" si="0"/>
        <v>17.871032394361624</v>
      </c>
      <c r="O3" s="1">
        <f t="shared" si="0"/>
        <v>27.718465322020709</v>
      </c>
      <c r="P3" s="1">
        <f t="shared" si="0"/>
        <v>27.699990953794959</v>
      </c>
      <c r="Q3" s="1">
        <f t="shared" si="0"/>
        <v>21.947496079695711</v>
      </c>
      <c r="R3" s="1">
        <f>SQRT(R2)</f>
        <v>25.00506576550233</v>
      </c>
    </row>
    <row r="4" spans="1:18" x14ac:dyDescent="0.35">
      <c r="A4" t="s">
        <v>13</v>
      </c>
      <c r="B4" s="1">
        <v>25</v>
      </c>
      <c r="C4" s="1">
        <v>12.5</v>
      </c>
      <c r="D4" s="1">
        <v>24</v>
      </c>
      <c r="E4" s="1">
        <v>3.95</v>
      </c>
      <c r="F4" s="1">
        <v>5</v>
      </c>
      <c r="G4" s="1">
        <v>20.21875</v>
      </c>
      <c r="H4" s="1">
        <v>4.67</v>
      </c>
      <c r="I4">
        <v>35.56</v>
      </c>
      <c r="K4" s="1" t="s">
        <v>10</v>
      </c>
      <c r="L4" s="1" cm="1">
        <f t="array" ref="L4">AVERAGE(ABS(B2:B63-I2:I63))</f>
        <v>11.39193612903226</v>
      </c>
      <c r="M4" s="1" cm="1">
        <f t="array" ref="M4">AVERAGE(ABS(C2:C63-I2:I63))</f>
        <v>16.962238064516129</v>
      </c>
      <c r="N4" s="1" cm="1">
        <f t="array" ref="N4">AVERAGE(ABS(D2:D63-I2:I63))</f>
        <v>11.915247096774195</v>
      </c>
      <c r="O4" s="1" cm="1">
        <f t="array" ref="O4">AVERAGE(ABS(E2:E63-I2:I63))</f>
        <v>20.563899354838714</v>
      </c>
      <c r="P4" s="1" cm="1">
        <f t="array" ref="P4">AVERAGE(ABS(F2:F63-I2:I63))</f>
        <v>20.926569677419355</v>
      </c>
      <c r="Q4" s="1" cm="1">
        <f t="array" ref="Q4">AVERAGE(ABS(G2:G63-I2:I63))</f>
        <v>16.499781411290325</v>
      </c>
      <c r="R4" s="1" cm="1">
        <f t="array" ref="R4">AVERAGE(ABS(H2:H63-I2:I63))</f>
        <v>18.552770322580638</v>
      </c>
    </row>
    <row r="5" spans="1:18" x14ac:dyDescent="0.35">
      <c r="A5" t="s">
        <v>14</v>
      </c>
      <c r="B5" s="1">
        <v>40</v>
      </c>
      <c r="C5" s="1">
        <v>45</v>
      </c>
      <c r="D5" s="1">
        <v>35</v>
      </c>
      <c r="E5" s="1">
        <v>18.2</v>
      </c>
      <c r="F5" s="1">
        <v>17.600000000000001</v>
      </c>
      <c r="G5" s="1">
        <v>14.7421875</v>
      </c>
      <c r="H5" s="1">
        <v>16.62</v>
      </c>
      <c r="I5">
        <v>45.48</v>
      </c>
    </row>
    <row r="6" spans="1:18" x14ac:dyDescent="0.35">
      <c r="A6" t="s">
        <v>15</v>
      </c>
      <c r="B6" s="1">
        <v>18</v>
      </c>
      <c r="C6" s="1">
        <v>2.5</v>
      </c>
      <c r="D6" s="1">
        <v>35</v>
      </c>
      <c r="E6" s="1">
        <v>36.299999999999997</v>
      </c>
      <c r="F6" s="1">
        <v>38.5</v>
      </c>
      <c r="G6" s="1">
        <v>34.9375</v>
      </c>
      <c r="H6" s="1">
        <v>20.239999999999998</v>
      </c>
      <c r="I6">
        <v>35.5</v>
      </c>
    </row>
    <row r="7" spans="1:18" x14ac:dyDescent="0.35">
      <c r="A7" t="s">
        <v>16</v>
      </c>
      <c r="B7" s="1">
        <v>15</v>
      </c>
      <c r="C7" s="1">
        <v>26.5</v>
      </c>
      <c r="D7" s="1">
        <v>15</v>
      </c>
      <c r="E7" s="1">
        <v>15.44</v>
      </c>
      <c r="F7" s="1">
        <v>15.4</v>
      </c>
      <c r="G7" s="1">
        <v>29.625</v>
      </c>
      <c r="H7" s="1">
        <v>12.32</v>
      </c>
      <c r="I7">
        <v>10.81</v>
      </c>
    </row>
    <row r="8" spans="1:18" x14ac:dyDescent="0.35">
      <c r="A8" t="s">
        <v>17</v>
      </c>
      <c r="B8" s="1">
        <v>28</v>
      </c>
      <c r="C8" s="1">
        <v>28.5</v>
      </c>
      <c r="D8" s="1">
        <v>30</v>
      </c>
      <c r="E8" s="1">
        <v>48.94</v>
      </c>
      <c r="F8" s="1">
        <v>49.8</v>
      </c>
      <c r="G8" s="1">
        <v>40.5</v>
      </c>
      <c r="H8" s="1">
        <v>32.24</v>
      </c>
      <c r="I8">
        <v>28.4</v>
      </c>
    </row>
    <row r="9" spans="1:18" x14ac:dyDescent="0.35">
      <c r="A9" t="s">
        <v>18</v>
      </c>
      <c r="B9" s="1">
        <v>25</v>
      </c>
      <c r="C9" s="1">
        <v>32</v>
      </c>
      <c r="D9" s="1">
        <v>35</v>
      </c>
      <c r="E9" s="1">
        <v>39.159999999999997</v>
      </c>
      <c r="F9" s="1">
        <v>41.6</v>
      </c>
      <c r="G9" s="1">
        <v>49.78125</v>
      </c>
      <c r="H9" s="1">
        <v>30.32</v>
      </c>
      <c r="I9">
        <v>38.1</v>
      </c>
    </row>
    <row r="10" spans="1:18" x14ac:dyDescent="0.35">
      <c r="A10" t="s">
        <v>19</v>
      </c>
      <c r="B10" s="1">
        <v>75</v>
      </c>
      <c r="C10" s="1">
        <v>52</v>
      </c>
      <c r="D10" s="1">
        <v>65</v>
      </c>
      <c r="E10" s="1">
        <v>60.7</v>
      </c>
      <c r="F10" s="1">
        <v>61.7</v>
      </c>
      <c r="G10" s="1">
        <v>36.40625</v>
      </c>
      <c r="H10" s="1">
        <v>39.42</v>
      </c>
      <c r="I10">
        <v>115</v>
      </c>
    </row>
    <row r="11" spans="1:18" x14ac:dyDescent="0.35">
      <c r="A11" t="s">
        <v>20</v>
      </c>
      <c r="B11" s="1">
        <v>24</v>
      </c>
      <c r="C11" s="1">
        <v>28.5</v>
      </c>
      <c r="D11" s="1">
        <v>32</v>
      </c>
      <c r="E11" s="1">
        <v>34.61</v>
      </c>
      <c r="F11" s="1">
        <v>38.4</v>
      </c>
      <c r="G11" s="1">
        <v>40.28125</v>
      </c>
      <c r="H11" s="1">
        <v>29.66</v>
      </c>
      <c r="I11">
        <v>17.82</v>
      </c>
    </row>
    <row r="12" spans="1:18" x14ac:dyDescent="0.35">
      <c r="A12" t="s">
        <v>21</v>
      </c>
      <c r="B12" s="1">
        <v>24</v>
      </c>
      <c r="C12" s="1">
        <v>32.5</v>
      </c>
      <c r="D12" s="1">
        <v>32</v>
      </c>
      <c r="E12" s="1">
        <v>32.4</v>
      </c>
      <c r="F12" s="1">
        <v>35.200000000000003</v>
      </c>
      <c r="G12" s="1">
        <v>31.703125</v>
      </c>
      <c r="H12" s="1">
        <v>30.8</v>
      </c>
      <c r="I12">
        <v>19.670000000000002</v>
      </c>
    </row>
    <row r="13" spans="1:18" x14ac:dyDescent="0.35">
      <c r="A13" t="s">
        <v>22</v>
      </c>
      <c r="B13" s="1">
        <v>27</v>
      </c>
      <c r="C13" s="1">
        <v>28.5</v>
      </c>
      <c r="D13" s="1">
        <v>35</v>
      </c>
      <c r="E13" s="1">
        <v>75</v>
      </c>
      <c r="F13" s="1">
        <v>74.2</v>
      </c>
      <c r="G13" s="1">
        <v>25.484375</v>
      </c>
      <c r="H13" s="1">
        <v>19.91</v>
      </c>
      <c r="I13">
        <v>35</v>
      </c>
    </row>
    <row r="14" spans="1:18" x14ac:dyDescent="0.35">
      <c r="A14" t="s">
        <v>23</v>
      </c>
      <c r="B14" s="1">
        <v>22</v>
      </c>
      <c r="C14" s="1">
        <v>23.5</v>
      </c>
      <c r="D14" s="1">
        <v>18</v>
      </c>
      <c r="E14" s="1">
        <v>32.15</v>
      </c>
      <c r="F14" s="1">
        <v>35.1</v>
      </c>
      <c r="G14" s="1">
        <v>27.8125</v>
      </c>
      <c r="H14" s="1">
        <v>25.9</v>
      </c>
      <c r="I14">
        <v>16.690000000000001</v>
      </c>
    </row>
    <row r="15" spans="1:18" x14ac:dyDescent="0.35">
      <c r="A15" t="s">
        <v>24</v>
      </c>
      <c r="B15" s="1">
        <v>14</v>
      </c>
      <c r="C15" s="1">
        <v>26.5</v>
      </c>
      <c r="D15" s="1">
        <v>13</v>
      </c>
      <c r="E15" s="1">
        <v>21.08</v>
      </c>
      <c r="F15" s="1">
        <v>21.4</v>
      </c>
      <c r="G15" s="1">
        <v>22.578125</v>
      </c>
      <c r="H15" s="1">
        <v>13.8</v>
      </c>
      <c r="I15">
        <v>11.75</v>
      </c>
    </row>
    <row r="16" spans="1:18" x14ac:dyDescent="0.35">
      <c r="A16" t="s">
        <v>25</v>
      </c>
      <c r="B16" s="1">
        <v>23</v>
      </c>
      <c r="C16" s="1">
        <v>32.5</v>
      </c>
      <c r="D16" s="1">
        <v>22</v>
      </c>
      <c r="E16" s="1">
        <v>23.08</v>
      </c>
      <c r="F16" s="1">
        <v>23.8</v>
      </c>
      <c r="G16" s="1">
        <v>27.71875</v>
      </c>
      <c r="H16" s="1">
        <v>12.88</v>
      </c>
      <c r="I16">
        <v>30</v>
      </c>
    </row>
    <row r="17" spans="1:9" x14ac:dyDescent="0.35">
      <c r="A17" t="s">
        <v>26</v>
      </c>
      <c r="B17" s="1">
        <v>15</v>
      </c>
      <c r="C17" s="1">
        <v>45</v>
      </c>
      <c r="D17" s="1">
        <v>18</v>
      </c>
      <c r="E17" s="1">
        <v>31.71</v>
      </c>
      <c r="F17" s="1">
        <v>34.1</v>
      </c>
      <c r="G17" s="1">
        <v>29.03125</v>
      </c>
      <c r="H17" s="1">
        <v>22.11</v>
      </c>
      <c r="I17">
        <v>16.239999999999998</v>
      </c>
    </row>
    <row r="18" spans="1:9" x14ac:dyDescent="0.35">
      <c r="A18" t="s">
        <v>27</v>
      </c>
      <c r="B18" s="1">
        <v>42</v>
      </c>
      <c r="C18" s="1">
        <v>45</v>
      </c>
      <c r="D18" s="1">
        <v>45</v>
      </c>
      <c r="E18" s="1">
        <v>41.7</v>
      </c>
      <c r="F18" s="1">
        <v>44.1</v>
      </c>
      <c r="G18" s="1">
        <v>26.6875</v>
      </c>
      <c r="H18" s="1">
        <v>34.57</v>
      </c>
      <c r="I18">
        <v>30.88</v>
      </c>
    </row>
    <row r="19" spans="1:9" x14ac:dyDescent="0.35">
      <c r="A19" t="s">
        <v>28</v>
      </c>
      <c r="B19" s="1">
        <v>15</v>
      </c>
      <c r="C19" s="1">
        <v>28.5</v>
      </c>
      <c r="D19" s="1">
        <v>25</v>
      </c>
      <c r="E19" s="1">
        <v>14.18</v>
      </c>
      <c r="F19" s="1">
        <v>14.3</v>
      </c>
      <c r="G19" s="1">
        <v>25.1875</v>
      </c>
      <c r="H19" s="1">
        <v>5.73</v>
      </c>
      <c r="I19">
        <v>33.5</v>
      </c>
    </row>
    <row r="20" spans="1:9" x14ac:dyDescent="0.35">
      <c r="A20" t="s">
        <v>29</v>
      </c>
      <c r="B20" s="1">
        <v>18</v>
      </c>
      <c r="C20" s="1">
        <v>3.2</v>
      </c>
      <c r="D20" s="1">
        <v>24</v>
      </c>
      <c r="E20" s="1">
        <v>5.36</v>
      </c>
      <c r="F20" s="1">
        <v>5.3</v>
      </c>
      <c r="G20" s="1">
        <v>14.0625</v>
      </c>
      <c r="H20" s="1">
        <v>2.91</v>
      </c>
      <c r="I20">
        <v>22.8</v>
      </c>
    </row>
    <row r="21" spans="1:9" x14ac:dyDescent="0.35">
      <c r="A21" t="s">
        <v>30</v>
      </c>
      <c r="B21" s="1">
        <v>39</v>
      </c>
      <c r="C21" s="1">
        <v>18.5</v>
      </c>
      <c r="D21" s="1">
        <v>32</v>
      </c>
      <c r="E21" s="1">
        <v>29.61</v>
      </c>
      <c r="F21" s="1">
        <v>31.8</v>
      </c>
      <c r="G21" s="1">
        <v>20.171875</v>
      </c>
      <c r="H21" s="1">
        <v>19.170000000000002</v>
      </c>
      <c r="I21">
        <v>33.96</v>
      </c>
    </row>
    <row r="22" spans="1:9" x14ac:dyDescent="0.35">
      <c r="A22" t="s">
        <v>31</v>
      </c>
      <c r="B22" s="1">
        <v>10</v>
      </c>
      <c r="C22" s="1">
        <v>15.5</v>
      </c>
      <c r="D22" s="1">
        <v>8</v>
      </c>
      <c r="E22" s="1">
        <v>28.3</v>
      </c>
      <c r="F22" s="1">
        <v>30.1</v>
      </c>
      <c r="G22" s="1">
        <v>19.703125</v>
      </c>
      <c r="H22" s="1">
        <v>22.38</v>
      </c>
      <c r="I22">
        <v>14.31</v>
      </c>
    </row>
    <row r="23" spans="1:9" x14ac:dyDescent="0.35">
      <c r="A23" t="s">
        <v>32</v>
      </c>
      <c r="B23" s="1">
        <v>12</v>
      </c>
      <c r="C23" s="1">
        <v>28.5</v>
      </c>
      <c r="D23" s="1">
        <v>18</v>
      </c>
      <c r="E23" s="1">
        <v>25.67</v>
      </c>
      <c r="F23" s="1">
        <v>26.2</v>
      </c>
      <c r="G23" s="1">
        <v>27.0625</v>
      </c>
      <c r="H23" s="1">
        <v>16.28</v>
      </c>
      <c r="I23">
        <v>13</v>
      </c>
    </row>
    <row r="24" spans="1:9" x14ac:dyDescent="0.35">
      <c r="A24" t="s">
        <v>33</v>
      </c>
      <c r="B24" s="1">
        <v>30</v>
      </c>
      <c r="C24" s="1">
        <v>32.5</v>
      </c>
      <c r="D24" s="1">
        <v>25</v>
      </c>
      <c r="E24" s="1">
        <v>25.08</v>
      </c>
      <c r="F24" s="1">
        <v>28.2</v>
      </c>
      <c r="G24" s="1">
        <v>25.703125</v>
      </c>
      <c r="H24" s="1">
        <v>26.99</v>
      </c>
      <c r="I24">
        <v>16.900099999999998</v>
      </c>
    </row>
    <row r="25" spans="1:9" x14ac:dyDescent="0.35">
      <c r="A25" t="s">
        <v>34</v>
      </c>
      <c r="B25" s="1">
        <v>75</v>
      </c>
      <c r="C25" s="1">
        <v>72</v>
      </c>
      <c r="D25" s="1">
        <v>105</v>
      </c>
      <c r="E25" s="1">
        <v>52.14</v>
      </c>
      <c r="F25" s="1">
        <v>57.3</v>
      </c>
      <c r="G25" s="1">
        <v>44.8125</v>
      </c>
      <c r="H25" s="1">
        <v>47.85</v>
      </c>
      <c r="I25">
        <v>54.149299999999997</v>
      </c>
    </row>
    <row r="26" spans="1:9" x14ac:dyDescent="0.35">
      <c r="A26" t="s">
        <v>35</v>
      </c>
      <c r="B26" s="1">
        <v>10</v>
      </c>
      <c r="C26" s="1">
        <v>28.5</v>
      </c>
      <c r="D26" s="1">
        <v>18</v>
      </c>
      <c r="E26" s="1">
        <v>26.23</v>
      </c>
      <c r="F26" s="1">
        <v>28.2</v>
      </c>
      <c r="G26" s="1">
        <v>29.78125</v>
      </c>
      <c r="H26" s="1">
        <v>18.41</v>
      </c>
      <c r="I26">
        <v>17.731560000000002</v>
      </c>
    </row>
    <row r="27" spans="1:9" x14ac:dyDescent="0.35">
      <c r="A27" t="s">
        <v>36</v>
      </c>
      <c r="B27" s="1">
        <v>60</v>
      </c>
      <c r="C27" s="1">
        <v>45</v>
      </c>
      <c r="D27" s="1">
        <v>60</v>
      </c>
      <c r="E27" s="1">
        <v>52.31</v>
      </c>
      <c r="F27" s="1">
        <v>57.4</v>
      </c>
      <c r="G27" s="1">
        <v>50.4375</v>
      </c>
      <c r="H27" s="1">
        <v>40.119999999999997</v>
      </c>
      <c r="I27">
        <v>54.127920000000003</v>
      </c>
    </row>
    <row r="28" spans="1:9" x14ac:dyDescent="0.35">
      <c r="A28" t="s">
        <v>37</v>
      </c>
      <c r="B28" s="1">
        <v>42</v>
      </c>
      <c r="C28" s="1">
        <v>48</v>
      </c>
      <c r="D28" s="1">
        <v>75</v>
      </c>
      <c r="E28" s="1">
        <v>68.37</v>
      </c>
      <c r="F28" s="1">
        <v>72.5</v>
      </c>
      <c r="G28" s="1">
        <v>55.75</v>
      </c>
      <c r="H28" s="1">
        <v>57.28</v>
      </c>
      <c r="I28">
        <v>52.826000000000001</v>
      </c>
    </row>
    <row r="29" spans="1:9" x14ac:dyDescent="0.35">
      <c r="A29" t="s">
        <v>38</v>
      </c>
      <c r="B29" s="1">
        <v>9</v>
      </c>
      <c r="C29" s="1">
        <v>8.5</v>
      </c>
      <c r="D29" s="1">
        <v>7.2</v>
      </c>
      <c r="E29" s="1">
        <v>66.760000000000005</v>
      </c>
      <c r="F29" s="1">
        <v>66.5</v>
      </c>
      <c r="G29" s="1">
        <v>57.4375</v>
      </c>
      <c r="H29" s="1">
        <v>32.06</v>
      </c>
      <c r="I29">
        <v>9.18</v>
      </c>
    </row>
    <row r="30" spans="1:9" x14ac:dyDescent="0.35">
      <c r="A30" t="s">
        <v>39</v>
      </c>
      <c r="B30" s="1">
        <v>11</v>
      </c>
      <c r="C30" s="1">
        <v>18.5</v>
      </c>
      <c r="D30" s="1">
        <v>15</v>
      </c>
      <c r="E30" s="1">
        <v>87.81</v>
      </c>
      <c r="F30" s="1">
        <v>87.2</v>
      </c>
      <c r="G30" s="1">
        <v>46.28125</v>
      </c>
      <c r="H30" s="1">
        <v>44.73</v>
      </c>
      <c r="I30">
        <v>16.123999999999999</v>
      </c>
    </row>
    <row r="31" spans="1:9" x14ac:dyDescent="0.35">
      <c r="A31" t="s">
        <v>40</v>
      </c>
      <c r="B31" s="1">
        <v>42</v>
      </c>
      <c r="C31" s="1">
        <v>42</v>
      </c>
      <c r="D31" s="1">
        <v>35</v>
      </c>
      <c r="E31" s="1">
        <v>38.82</v>
      </c>
      <c r="F31" s="1">
        <v>40.799999999999997</v>
      </c>
      <c r="G31" s="1">
        <v>24.09375</v>
      </c>
      <c r="H31" s="1">
        <v>23.2</v>
      </c>
      <c r="I31">
        <v>46.8</v>
      </c>
    </row>
    <row r="32" spans="1:9" x14ac:dyDescent="0.35">
      <c r="A32" t="s">
        <v>41</v>
      </c>
      <c r="B32" s="1">
        <v>90</v>
      </c>
      <c r="C32" s="1">
        <v>96</v>
      </c>
      <c r="D32" s="1">
        <v>60</v>
      </c>
      <c r="E32" s="1">
        <v>64.209999999999994</v>
      </c>
      <c r="F32" s="1">
        <v>64.599999999999994</v>
      </c>
      <c r="G32" s="1">
        <v>37.90625</v>
      </c>
      <c r="H32" s="1">
        <v>35.74</v>
      </c>
      <c r="I32">
        <v>91.08</v>
      </c>
    </row>
    <row r="33" spans="1:9" x14ac:dyDescent="0.35">
      <c r="A33" t="s">
        <v>42</v>
      </c>
      <c r="B33" s="1">
        <v>32</v>
      </c>
      <c r="C33" s="1">
        <v>24</v>
      </c>
      <c r="D33" s="1">
        <v>48</v>
      </c>
      <c r="E33" s="1">
        <v>14.57</v>
      </c>
      <c r="F33" s="1">
        <v>14.4</v>
      </c>
      <c r="G33" s="1">
        <v>18.609375</v>
      </c>
      <c r="H33" s="1">
        <v>9.64</v>
      </c>
      <c r="I33">
        <v>49.28</v>
      </c>
    </row>
    <row r="34" spans="1:9" x14ac:dyDescent="0.35">
      <c r="A34" t="s">
        <v>43</v>
      </c>
      <c r="B34" s="1">
        <v>52</v>
      </c>
      <c r="C34" s="1">
        <v>52</v>
      </c>
      <c r="D34" s="1">
        <v>42</v>
      </c>
      <c r="E34" s="1">
        <v>27.44</v>
      </c>
      <c r="F34" s="1">
        <v>29.2</v>
      </c>
      <c r="G34" s="1">
        <v>37.25</v>
      </c>
      <c r="H34" s="1">
        <v>16.7</v>
      </c>
      <c r="I34">
        <v>87.5</v>
      </c>
    </row>
    <row r="35" spans="1:9" x14ac:dyDescent="0.35">
      <c r="A35" t="s">
        <v>44</v>
      </c>
      <c r="B35" s="1">
        <v>26</v>
      </c>
      <c r="C35" s="1">
        <v>54</v>
      </c>
      <c r="D35" s="1">
        <v>26</v>
      </c>
      <c r="E35" s="1">
        <v>31.16</v>
      </c>
      <c r="F35" s="1">
        <v>33.5</v>
      </c>
      <c r="G35" s="1">
        <v>30.109375</v>
      </c>
      <c r="H35" s="1">
        <v>22.59</v>
      </c>
      <c r="I35">
        <v>23.5</v>
      </c>
    </row>
    <row r="36" spans="1:9" x14ac:dyDescent="0.35">
      <c r="A36" t="s">
        <v>45</v>
      </c>
      <c r="B36" s="1">
        <v>39</v>
      </c>
      <c r="C36" s="1">
        <v>0</v>
      </c>
      <c r="D36" s="1">
        <v>39</v>
      </c>
      <c r="E36" s="1">
        <v>76.47</v>
      </c>
      <c r="F36" s="1">
        <v>76.7</v>
      </c>
      <c r="G36" s="1">
        <v>42.15625</v>
      </c>
      <c r="H36" s="1">
        <v>30.56</v>
      </c>
      <c r="I36">
        <v>0</v>
      </c>
    </row>
    <row r="37" spans="1:9" x14ac:dyDescent="0.35">
      <c r="A37" t="s">
        <v>46</v>
      </c>
      <c r="B37" s="1">
        <v>54</v>
      </c>
      <c r="C37" s="1">
        <v>52</v>
      </c>
      <c r="D37" s="1">
        <v>52</v>
      </c>
      <c r="E37" s="1">
        <v>57.29</v>
      </c>
      <c r="F37" s="1">
        <v>59.5</v>
      </c>
      <c r="G37" s="1">
        <v>34.75</v>
      </c>
      <c r="H37" s="1">
        <v>36.14</v>
      </c>
      <c r="I37">
        <v>46.6</v>
      </c>
    </row>
    <row r="38" spans="1:9" x14ac:dyDescent="0.35">
      <c r="A38" t="s">
        <v>47</v>
      </c>
      <c r="B38" s="1">
        <v>76</v>
      </c>
      <c r="C38" s="1">
        <v>85</v>
      </c>
      <c r="D38" s="1">
        <v>82</v>
      </c>
      <c r="E38" s="1">
        <v>71.05</v>
      </c>
      <c r="F38" s="1">
        <v>71.3</v>
      </c>
      <c r="G38" s="1">
        <v>43.09375</v>
      </c>
      <c r="H38" s="1">
        <v>41.8</v>
      </c>
      <c r="I38">
        <v>70.099999999999994</v>
      </c>
    </row>
    <row r="39" spans="1:9" x14ac:dyDescent="0.35">
      <c r="A39" t="s">
        <v>48</v>
      </c>
      <c r="B39" s="1">
        <v>39</v>
      </c>
      <c r="C39" s="1">
        <v>120</v>
      </c>
      <c r="D39" s="1">
        <v>32</v>
      </c>
      <c r="E39" s="1">
        <v>26.54</v>
      </c>
      <c r="F39" s="1">
        <v>27.4</v>
      </c>
      <c r="G39" s="1">
        <v>24.484375</v>
      </c>
      <c r="H39" s="1">
        <v>18.12</v>
      </c>
      <c r="I39">
        <v>33.11</v>
      </c>
    </row>
    <row r="40" spans="1:9" x14ac:dyDescent="0.35">
      <c r="A40" t="s">
        <v>49</v>
      </c>
      <c r="B40" s="1">
        <v>40</v>
      </c>
      <c r="C40" s="1">
        <v>42.5</v>
      </c>
      <c r="D40" s="1">
        <v>35</v>
      </c>
      <c r="E40" s="1">
        <v>34.01</v>
      </c>
      <c r="F40" s="1">
        <v>36.9</v>
      </c>
      <c r="G40" s="1">
        <v>32.78125</v>
      </c>
      <c r="H40" s="1">
        <v>35.61</v>
      </c>
      <c r="I40">
        <v>38.11</v>
      </c>
    </row>
    <row r="41" spans="1:9" x14ac:dyDescent="0.35">
      <c r="A41" t="s">
        <v>50</v>
      </c>
      <c r="B41" s="1">
        <v>55</v>
      </c>
      <c r="C41" s="1">
        <v>68</v>
      </c>
      <c r="D41" s="1">
        <v>35</v>
      </c>
      <c r="E41" s="1">
        <v>34.76</v>
      </c>
      <c r="F41" s="1">
        <v>38.1</v>
      </c>
      <c r="G41" s="1">
        <v>42.34375</v>
      </c>
      <c r="H41" s="1">
        <v>34.590000000000003</v>
      </c>
      <c r="I41">
        <v>48.37</v>
      </c>
    </row>
    <row r="42" spans="1:9" x14ac:dyDescent="0.35">
      <c r="A42" t="s">
        <v>51</v>
      </c>
      <c r="B42" s="1">
        <v>15</v>
      </c>
      <c r="C42" s="1">
        <v>0.5</v>
      </c>
      <c r="D42" s="1">
        <v>18</v>
      </c>
      <c r="E42" s="1">
        <v>31.93</v>
      </c>
      <c r="F42" s="1">
        <v>33.700000000000003</v>
      </c>
      <c r="G42" s="1">
        <v>34.5</v>
      </c>
      <c r="H42" s="1">
        <v>8.58</v>
      </c>
      <c r="I42">
        <v>56.9</v>
      </c>
    </row>
    <row r="43" spans="1:9" x14ac:dyDescent="0.35">
      <c r="A43" t="s">
        <v>52</v>
      </c>
      <c r="B43" s="1">
        <v>35</v>
      </c>
      <c r="C43" s="1">
        <v>38</v>
      </c>
      <c r="D43" s="1">
        <v>35</v>
      </c>
      <c r="E43" s="1">
        <v>44.21</v>
      </c>
      <c r="F43" s="1">
        <v>46.3</v>
      </c>
      <c r="G43" s="1">
        <v>40.59375</v>
      </c>
      <c r="H43" s="1">
        <v>38.03</v>
      </c>
      <c r="I43">
        <v>45.9</v>
      </c>
    </row>
    <row r="44" spans="1:9" x14ac:dyDescent="0.35">
      <c r="A44" t="s">
        <v>53</v>
      </c>
      <c r="B44" s="1">
        <v>31</v>
      </c>
      <c r="C44" s="1">
        <v>38.5</v>
      </c>
      <c r="D44" s="1">
        <v>35</v>
      </c>
      <c r="E44" s="1">
        <v>49.42</v>
      </c>
      <c r="F44" s="1">
        <v>51</v>
      </c>
      <c r="G44" s="1">
        <v>39.84375</v>
      </c>
      <c r="H44" s="1">
        <v>32.81</v>
      </c>
      <c r="I44">
        <v>35.1</v>
      </c>
    </row>
    <row r="45" spans="1:9" x14ac:dyDescent="0.35">
      <c r="A45" t="s">
        <v>54</v>
      </c>
      <c r="B45" s="1">
        <v>18</v>
      </c>
      <c r="C45" s="1">
        <v>42.5</v>
      </c>
      <c r="D45" s="1">
        <v>12</v>
      </c>
      <c r="E45" s="1">
        <v>13.73</v>
      </c>
      <c r="F45" s="1">
        <v>14</v>
      </c>
      <c r="G45" s="1">
        <v>27.640625</v>
      </c>
      <c r="H45" s="1">
        <v>13.09</v>
      </c>
      <c r="I45">
        <v>11.96</v>
      </c>
    </row>
    <row r="46" spans="1:9" x14ac:dyDescent="0.35">
      <c r="A46" t="s">
        <v>55</v>
      </c>
      <c r="B46" s="1">
        <v>50</v>
      </c>
      <c r="C46" s="1">
        <v>78.5</v>
      </c>
      <c r="D46" s="1">
        <v>58</v>
      </c>
      <c r="E46" s="1">
        <v>54.47</v>
      </c>
      <c r="F46" s="1">
        <v>56.5</v>
      </c>
      <c r="G46" s="1">
        <v>40.9375</v>
      </c>
      <c r="H46" s="1">
        <v>37.85</v>
      </c>
      <c r="I46">
        <v>47.06</v>
      </c>
    </row>
    <row r="47" spans="1:9" x14ac:dyDescent="0.35">
      <c r="A47" t="s">
        <v>56</v>
      </c>
      <c r="B47" s="1">
        <v>33</v>
      </c>
      <c r="C47" s="1">
        <v>68.5</v>
      </c>
      <c r="D47" s="1">
        <v>24</v>
      </c>
      <c r="E47" s="1">
        <v>15.85</v>
      </c>
      <c r="F47" s="1">
        <v>15.3</v>
      </c>
      <c r="G47" s="1">
        <v>37.09375</v>
      </c>
      <c r="H47" s="1">
        <v>16.350000000000001</v>
      </c>
      <c r="I47">
        <v>20.7</v>
      </c>
    </row>
    <row r="48" spans="1:9" x14ac:dyDescent="0.35">
      <c r="A48" t="s">
        <v>57</v>
      </c>
      <c r="B48" s="1">
        <v>55</v>
      </c>
      <c r="C48" s="1">
        <v>89.5</v>
      </c>
      <c r="D48" s="1">
        <v>65</v>
      </c>
      <c r="E48" s="1">
        <v>60.11</v>
      </c>
      <c r="F48" s="1">
        <v>61.4</v>
      </c>
      <c r="G48" s="1">
        <v>50.875</v>
      </c>
      <c r="H48" s="1">
        <v>38.369999999999997</v>
      </c>
      <c r="I48">
        <v>55.8</v>
      </c>
    </row>
    <row r="49" spans="1:9" x14ac:dyDescent="0.35">
      <c r="A49" t="s">
        <v>58</v>
      </c>
      <c r="B49" s="1">
        <v>32</v>
      </c>
      <c r="C49" s="1">
        <v>38</v>
      </c>
      <c r="D49" s="1">
        <v>32</v>
      </c>
      <c r="E49" s="1">
        <v>10.83</v>
      </c>
      <c r="F49" s="1">
        <v>9.8000000000000007</v>
      </c>
      <c r="G49" s="1">
        <v>26.34375</v>
      </c>
      <c r="H49" s="1">
        <v>9.0299999999999994</v>
      </c>
      <c r="I49">
        <v>45.707999999999998</v>
      </c>
    </row>
    <row r="50" spans="1:9" x14ac:dyDescent="0.35">
      <c r="A50" t="s">
        <v>59</v>
      </c>
      <c r="B50" s="1">
        <v>42</v>
      </c>
      <c r="C50" s="1">
        <v>62</v>
      </c>
      <c r="D50" s="1">
        <v>35</v>
      </c>
      <c r="E50" s="1">
        <v>23.17</v>
      </c>
      <c r="F50" s="1">
        <v>24.2</v>
      </c>
      <c r="G50" s="1">
        <v>34.3125</v>
      </c>
      <c r="H50" s="1">
        <v>17.989999999999998</v>
      </c>
      <c r="I50">
        <v>47.103000000000002</v>
      </c>
    </row>
    <row r="51" spans="1:9" x14ac:dyDescent="0.35">
      <c r="A51" t="s">
        <v>60</v>
      </c>
      <c r="B51" s="1">
        <v>58</v>
      </c>
      <c r="C51" s="1">
        <v>72.5</v>
      </c>
      <c r="D51" s="1">
        <v>48</v>
      </c>
      <c r="E51" s="1">
        <v>28.88</v>
      </c>
      <c r="F51" s="1">
        <v>30.9</v>
      </c>
      <c r="G51" s="1">
        <v>38.28125</v>
      </c>
      <c r="H51" s="1">
        <v>17.11</v>
      </c>
      <c r="I51">
        <v>48.204999999999998</v>
      </c>
    </row>
    <row r="52" spans="1:9" x14ac:dyDescent="0.35">
      <c r="A52" t="s">
        <v>61</v>
      </c>
      <c r="B52" s="1">
        <v>10</v>
      </c>
      <c r="C52" s="1">
        <v>18.5</v>
      </c>
      <c r="D52" s="1">
        <v>11</v>
      </c>
      <c r="E52" s="1">
        <v>10.94</v>
      </c>
      <c r="F52" s="1">
        <v>10.6</v>
      </c>
      <c r="G52" s="1">
        <v>18.1875</v>
      </c>
      <c r="H52" s="1">
        <v>2.74</v>
      </c>
      <c r="I52">
        <v>33.28</v>
      </c>
    </row>
    <row r="53" spans="1:9" x14ac:dyDescent="0.35">
      <c r="A53" t="s">
        <v>62</v>
      </c>
      <c r="B53" s="1">
        <v>30</v>
      </c>
      <c r="C53" s="1">
        <v>45</v>
      </c>
      <c r="D53" s="1">
        <v>36</v>
      </c>
      <c r="E53" s="1">
        <v>23.04</v>
      </c>
      <c r="F53" s="1">
        <v>23.5</v>
      </c>
      <c r="G53" s="1">
        <v>22.546875</v>
      </c>
      <c r="H53" s="1">
        <v>20.39</v>
      </c>
      <c r="I53">
        <v>34.32</v>
      </c>
    </row>
    <row r="54" spans="1:9" x14ac:dyDescent="0.35">
      <c r="A54" t="s">
        <v>63</v>
      </c>
      <c r="B54" s="1">
        <v>50</v>
      </c>
      <c r="C54" s="1">
        <v>48.5</v>
      </c>
      <c r="D54" s="1">
        <v>42</v>
      </c>
      <c r="E54" s="1">
        <v>28.92</v>
      </c>
      <c r="F54" s="1">
        <v>30.4</v>
      </c>
      <c r="G54" s="1">
        <v>24.953125</v>
      </c>
      <c r="H54" s="1">
        <v>22.52</v>
      </c>
      <c r="I54">
        <v>67.599999999999994</v>
      </c>
    </row>
    <row r="55" spans="1:9" x14ac:dyDescent="0.35">
      <c r="A55" t="s">
        <v>64</v>
      </c>
      <c r="B55" s="1">
        <v>65</v>
      </c>
      <c r="C55" s="1">
        <v>38</v>
      </c>
      <c r="D55" s="1">
        <v>54</v>
      </c>
      <c r="E55" s="1">
        <v>70.14</v>
      </c>
      <c r="F55" s="1">
        <v>71</v>
      </c>
      <c r="G55" s="1">
        <v>50.9375</v>
      </c>
      <c r="H55" s="1">
        <v>55.46</v>
      </c>
      <c r="I55">
        <v>51.64</v>
      </c>
    </row>
    <row r="56" spans="1:9" x14ac:dyDescent="0.35">
      <c r="A56" t="s">
        <v>65</v>
      </c>
      <c r="B56" s="1">
        <v>68</v>
      </c>
      <c r="C56" s="1">
        <v>72</v>
      </c>
      <c r="D56" s="1">
        <v>48</v>
      </c>
      <c r="E56" s="1">
        <v>28.98</v>
      </c>
      <c r="F56" s="1">
        <v>32.1</v>
      </c>
      <c r="G56" s="1">
        <v>40.53125</v>
      </c>
      <c r="H56" s="1">
        <v>24.64</v>
      </c>
      <c r="I56">
        <v>51.685200000000002</v>
      </c>
    </row>
    <row r="57" spans="1:9" x14ac:dyDescent="0.35">
      <c r="A57" t="s">
        <v>66</v>
      </c>
      <c r="B57" s="1">
        <v>17</v>
      </c>
      <c r="C57" s="1">
        <v>32.5</v>
      </c>
      <c r="D57" s="1">
        <v>12</v>
      </c>
      <c r="E57" s="1">
        <v>31.87</v>
      </c>
      <c r="F57" s="1">
        <v>35.200000000000003</v>
      </c>
      <c r="G57" s="1">
        <v>30.234375</v>
      </c>
      <c r="H57" s="1">
        <v>28.77</v>
      </c>
      <c r="I57">
        <v>11.68</v>
      </c>
    </row>
    <row r="58" spans="1:9" x14ac:dyDescent="0.35">
      <c r="A58" t="s">
        <v>67</v>
      </c>
      <c r="B58" s="1">
        <v>26</v>
      </c>
      <c r="C58" s="1">
        <v>28.5</v>
      </c>
      <c r="D58" s="1">
        <v>30</v>
      </c>
      <c r="E58" s="1">
        <v>31.19</v>
      </c>
      <c r="F58" s="1">
        <v>33.700000000000003</v>
      </c>
      <c r="G58" s="1">
        <v>31.5625</v>
      </c>
      <c r="H58" s="1">
        <v>28.83</v>
      </c>
      <c r="I58">
        <v>25.425000000000001</v>
      </c>
    </row>
    <row r="59" spans="1:9" x14ac:dyDescent="0.35">
      <c r="A59" t="s">
        <v>68</v>
      </c>
      <c r="B59" s="1">
        <v>27</v>
      </c>
      <c r="C59" s="1">
        <v>26.8</v>
      </c>
      <c r="D59" s="1">
        <v>27</v>
      </c>
      <c r="E59" s="1">
        <v>28.02</v>
      </c>
      <c r="F59" s="1">
        <v>28.3</v>
      </c>
      <c r="G59" s="1">
        <v>24.203125</v>
      </c>
      <c r="H59" s="1">
        <v>6.5</v>
      </c>
      <c r="I59">
        <v>16.559999999999999</v>
      </c>
    </row>
    <row r="60" spans="1:9" x14ac:dyDescent="0.35">
      <c r="A60" t="s">
        <v>69</v>
      </c>
      <c r="B60" s="1">
        <v>52</v>
      </c>
      <c r="C60" s="1">
        <v>25.1</v>
      </c>
      <c r="D60" s="1">
        <v>52</v>
      </c>
      <c r="E60" s="1">
        <v>90.51</v>
      </c>
      <c r="F60" s="1">
        <v>89.89</v>
      </c>
      <c r="G60" s="1">
        <v>35.65625</v>
      </c>
      <c r="H60" s="1">
        <v>32.64</v>
      </c>
      <c r="I60">
        <v>28.88</v>
      </c>
    </row>
    <row r="61" spans="1:9" x14ac:dyDescent="0.35">
      <c r="A61" t="s">
        <v>70</v>
      </c>
      <c r="B61" s="1">
        <v>79</v>
      </c>
      <c r="C61" s="1">
        <v>38.5</v>
      </c>
      <c r="D61" s="1">
        <v>80</v>
      </c>
      <c r="E61" s="1">
        <v>106.22</v>
      </c>
      <c r="F61" s="1">
        <v>105</v>
      </c>
      <c r="G61" s="1">
        <v>47.71875</v>
      </c>
      <c r="H61" s="1">
        <v>44.22</v>
      </c>
      <c r="I61">
        <v>39.68</v>
      </c>
    </row>
    <row r="62" spans="1:9" x14ac:dyDescent="0.35">
      <c r="A62" t="s">
        <v>71</v>
      </c>
      <c r="B62" s="1">
        <v>25</v>
      </c>
      <c r="C62" s="1">
        <v>25</v>
      </c>
      <c r="D62" s="1">
        <v>25</v>
      </c>
      <c r="E62" s="1">
        <v>42.28</v>
      </c>
      <c r="F62" s="1">
        <v>43.7</v>
      </c>
      <c r="G62" s="1">
        <v>31.703125</v>
      </c>
      <c r="H62" s="1">
        <v>27.58</v>
      </c>
      <c r="I62">
        <v>12.32</v>
      </c>
    </row>
    <row r="63" spans="1:9" x14ac:dyDescent="0.35">
      <c r="A63" s="2" t="s">
        <v>72</v>
      </c>
      <c r="B63" s="3">
        <v>27</v>
      </c>
      <c r="C63" s="3">
        <v>17.2</v>
      </c>
      <c r="D63" s="3">
        <v>27</v>
      </c>
      <c r="E63" s="3">
        <v>35.64</v>
      </c>
      <c r="F63" s="3">
        <v>37.4</v>
      </c>
      <c r="G63" s="3">
        <v>35.46875</v>
      </c>
      <c r="H63" s="3">
        <v>21.29</v>
      </c>
      <c r="I63" s="2">
        <v>10.8</v>
      </c>
    </row>
    <row r="64" spans="1:9" x14ac:dyDescent="0.35">
      <c r="A64" t="s">
        <v>76</v>
      </c>
      <c r="B64" s="1">
        <f t="shared" ref="B64:I64" si="1">AVERAGE(B2:B63)</f>
        <v>35.854838709677416</v>
      </c>
      <c r="C64" s="1">
        <f t="shared" si="1"/>
        <v>39.658064516129031</v>
      </c>
      <c r="D64" s="1">
        <f t="shared" si="1"/>
        <v>36.051612903225802</v>
      </c>
      <c r="E64" s="1">
        <f t="shared" si="1"/>
        <v>39.017903225806457</v>
      </c>
      <c r="F64" s="1">
        <f t="shared" si="1"/>
        <v>40.440161290322571</v>
      </c>
      <c r="G64" s="1">
        <f>AVERAGE(G2:G63)</f>
        <v>33.792404233870968</v>
      </c>
      <c r="H64" s="1">
        <f>AVERAGE(H2:H63)</f>
        <v>25.513225806451608</v>
      </c>
      <c r="I64" s="1">
        <f t="shared" si="1"/>
        <v>37.057823870967731</v>
      </c>
    </row>
    <row r="65" spans="1:9" x14ac:dyDescent="0.35">
      <c r="A65" t="s">
        <v>81</v>
      </c>
      <c r="B65" s="1">
        <f>MIN(B2:B63)</f>
        <v>9</v>
      </c>
      <c r="C65" s="1">
        <f t="shared" ref="C65:I65" si="2">MIN(C2:C63)</f>
        <v>0</v>
      </c>
      <c r="D65" s="1">
        <f t="shared" si="2"/>
        <v>7.2</v>
      </c>
      <c r="E65" s="1">
        <f t="shared" si="2"/>
        <v>3.95</v>
      </c>
      <c r="F65" s="1">
        <f t="shared" si="2"/>
        <v>5</v>
      </c>
      <c r="G65" s="1">
        <f t="shared" si="2"/>
        <v>14.0625</v>
      </c>
      <c r="H65" s="1">
        <f t="shared" si="2"/>
        <v>2.74</v>
      </c>
      <c r="I65" s="1">
        <f t="shared" si="2"/>
        <v>0</v>
      </c>
    </row>
    <row r="66" spans="1:9" x14ac:dyDescent="0.35">
      <c r="A66" t="s">
        <v>82</v>
      </c>
      <c r="B66" s="1">
        <f>MAX(B2:B63)</f>
        <v>90</v>
      </c>
      <c r="C66" s="1">
        <f t="shared" ref="C66:I66" si="3">MAX(C2:C63)</f>
        <v>120</v>
      </c>
      <c r="D66" s="1">
        <f t="shared" si="3"/>
        <v>105</v>
      </c>
      <c r="E66" s="1">
        <f t="shared" si="3"/>
        <v>106.22</v>
      </c>
      <c r="F66" s="1">
        <f t="shared" si="3"/>
        <v>105</v>
      </c>
      <c r="G66" s="1">
        <f t="shared" si="3"/>
        <v>57.4375</v>
      </c>
      <c r="H66" s="1">
        <f t="shared" si="3"/>
        <v>57.28</v>
      </c>
      <c r="I66" s="1">
        <f t="shared" si="3"/>
        <v>115</v>
      </c>
    </row>
    <row r="67" spans="1:9" x14ac:dyDescent="0.35">
      <c r="A67" t="s">
        <v>83</v>
      </c>
      <c r="B67">
        <f>_xlfn.VAR.S(B2:B63)</f>
        <v>389.86382866208345</v>
      </c>
      <c r="C67">
        <f t="shared" ref="C67:I67" si="4">_xlfn.VAR.S(C2:C63)</f>
        <v>567.80870438921227</v>
      </c>
      <c r="D67">
        <f t="shared" si="4"/>
        <v>376.31598096245403</v>
      </c>
      <c r="E67">
        <f t="shared" si="4"/>
        <v>476.08164307244812</v>
      </c>
      <c r="F67">
        <f t="shared" si="4"/>
        <v>474.3606573506089</v>
      </c>
      <c r="G67">
        <f t="shared" si="4"/>
        <v>105.67427362829349</v>
      </c>
      <c r="H67">
        <f t="shared" si="4"/>
        <v>155.26040581702796</v>
      </c>
      <c r="I67">
        <f t="shared" si="4"/>
        <v>493.84409942453561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Riis Vestergaard</dc:creator>
  <cp:lastModifiedBy>Jonas Riis Vestergaard</cp:lastModifiedBy>
  <dcterms:created xsi:type="dcterms:W3CDTF">2026-05-14T11:46:37Z</dcterms:created>
  <dcterms:modified xsi:type="dcterms:W3CDTF">2026-05-27T15:57:21Z</dcterms:modified>
</cp:coreProperties>
</file>