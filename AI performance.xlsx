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OneDrive\Desktop\Stock predictor project V2\Carbohydrate-Estimation-for-Diabetes-management\"/>
    </mc:Choice>
  </mc:AlternateContent>
  <xr:revisionPtr revIDLastSave="0" documentId="13_ncr:1_{2DCABC57-FB7A-4356-8AF3-35DCB011870D}" xr6:coauthVersionLast="47" xr6:coauthVersionMax="47" xr10:uidLastSave="{00000000-0000-0000-0000-000000000000}"/>
  <bookViews>
    <workbookView xWindow="28680" yWindow="-120" windowWidth="16440" windowHeight="28320" xr2:uid="{034F3671-DC65-4666-A437-E697FF2F8604}"/>
  </bookViews>
  <sheets>
    <sheet name="dish_carb_split_metadata (1)" sheetId="2" r:id="rId1"/>
    <sheet name="Ark1" sheetId="1" r:id="rId2"/>
  </sheets>
  <definedNames>
    <definedName name="EksterneData_1" localSheetId="0" hidden="1">'dish_carb_split_metadata (1)'!$A$1:$B$508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2" l="1" a="1"/>
  <c r="J4" i="2" s="1"/>
  <c r="I4" i="2" a="1"/>
  <c r="I4" i="2" s="1"/>
  <c r="H4" i="2" a="1"/>
  <c r="H4" i="2" s="1"/>
  <c r="I2" i="2" a="1"/>
  <c r="I2" i="2" s="1"/>
  <c r="I3" i="2" l="1"/>
  <c r="H3" i="2"/>
  <c r="H2" i="2" a="1"/>
  <c r="H2" i="2" s="1"/>
  <c r="J2" i="2" a="1"/>
  <c r="J2" i="2" s="1"/>
  <c r="J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8D5C1-2E0C-4A60-B033-ADABA1AEAE3F}" keepAlive="1" name="Forespørgsel - dish_carb_split_metadata (1)" description="Forbindelse til forespørgslen 'dish_carb_split_metadata (1)' i projektmappen." type="5" refreshedVersion="8" background="1" saveData="1">
    <dbPr connection="Provider=Microsoft.Mashup.OleDb.1;Data Source=$Workbook$;Location=&quot;dish_carb_split_metadata (1)&quot;;Extended Properties=&quot;&quot;" command="SELECT * FROM [dish_carb_split_metadata 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<sst xmlns="http://schemas.openxmlformats.org/spreadsheetml/2006/main" count="518" uniqueCount="518">
  <si>
    <t>dish_id</t>
  </si>
  <si>
    <t>dish_1556575327</t>
  </si>
  <si>
    <t>dish_1557861216</t>
  </si>
  <si>
    <t>dish_1557862345</t>
  </si>
  <si>
    <t>dish_1557862696</t>
  </si>
  <si>
    <t>dish_1557862738</t>
  </si>
  <si>
    <t>dish_1557862783</t>
  </si>
  <si>
    <t>dish_1557936555</t>
  </si>
  <si>
    <t>dish_1557936599</t>
  </si>
  <si>
    <t>dish_1557936645</t>
  </si>
  <si>
    <t>dish_1557937037</t>
  </si>
  <si>
    <t>dish_1557937079</t>
  </si>
  <si>
    <t>dish_1557937157</t>
  </si>
  <si>
    <t>dish_1557937335</t>
  </si>
  <si>
    <t>dish_1557937427</t>
  </si>
  <si>
    <t>dish_1557937574</t>
  </si>
  <si>
    <t>dish_1557937615</t>
  </si>
  <si>
    <t>dish_1557937715</t>
  </si>
  <si>
    <t>dish_1557937758</t>
  </si>
  <si>
    <t>dish_1558030182</t>
  </si>
  <si>
    <t>dish_1558030289</t>
  </si>
  <si>
    <t>dish_1558030383</t>
  </si>
  <si>
    <t>dish_1558030435</t>
  </si>
  <si>
    <t>dish_1558031133</t>
  </si>
  <si>
    <t>dish_1558031237</t>
  </si>
  <si>
    <t>dish_1558031302</t>
  </si>
  <si>
    <t>dish_1558031351</t>
  </si>
  <si>
    <t>dish_1558031394</t>
  </si>
  <si>
    <t>dish_1558110297</t>
  </si>
  <si>
    <t>dish_1558110335</t>
  </si>
  <si>
    <t>dish_1558110385</t>
  </si>
  <si>
    <t>dish_1558110436</t>
  </si>
  <si>
    <t>dish_1558110478</t>
  </si>
  <si>
    <t>dish_1558113430</t>
  </si>
  <si>
    <t>dish_1558113477</t>
  </si>
  <si>
    <t>dish_1558113941</t>
  </si>
  <si>
    <t>dish_1558114086</t>
  </si>
  <si>
    <t>dish_1558114145</t>
  </si>
  <si>
    <t>dish_1558114209</t>
  </si>
  <si>
    <t>dish_1558114284</t>
  </si>
  <si>
    <t>dish_1558372948</t>
  </si>
  <si>
    <t>dish_1558373008</t>
  </si>
  <si>
    <t>dish_1558373074</t>
  </si>
  <si>
    <t>dish_1558373159</t>
  </si>
  <si>
    <t>dish_1558375667</t>
  </si>
  <si>
    <t>dish_1558375732</t>
  </si>
  <si>
    <t>dish_1558375833</t>
  </si>
  <si>
    <t>dish_1558375886</t>
  </si>
  <si>
    <t>dish_1558376212</t>
  </si>
  <si>
    <t>dish_1558376306</t>
  </si>
  <si>
    <t>dish_1558376364</t>
  </si>
  <si>
    <t>dish_1558376437</t>
  </si>
  <si>
    <t>dish_1558376483</t>
  </si>
  <si>
    <t>dish_1558376734</t>
  </si>
  <si>
    <t>dish_1558376768</t>
  </si>
  <si>
    <t>dish_1558376801</t>
  </si>
  <si>
    <t>dish_1558376874</t>
  </si>
  <si>
    <t>dish_1558376938</t>
  </si>
  <si>
    <t>dish_1558376984</t>
  </si>
  <si>
    <t>dish_1558461431</t>
  </si>
  <si>
    <t>dish_1558461607</t>
  </si>
  <si>
    <t>dish_1558461692</t>
  </si>
  <si>
    <t>dish_1558461760</t>
  </si>
  <si>
    <t>dish_1558461792</t>
  </si>
  <si>
    <t>dish_1558544663</t>
  </si>
  <si>
    <t>dish_1558545738</t>
  </si>
  <si>
    <t>dish_1558546434</t>
  </si>
  <si>
    <t>dish_1558546558</t>
  </si>
  <si>
    <t>dish_1558546663</t>
  </si>
  <si>
    <t>dish_1558549413</t>
  </si>
  <si>
    <t>dish_1558549605</t>
  </si>
  <si>
    <t>dish_1558549773</t>
  </si>
  <si>
    <t>dish_1558549806</t>
  </si>
  <si>
    <t>dish_1558630176</t>
  </si>
  <si>
    <t>dish_1558630207</t>
  </si>
  <si>
    <t>dish_1558630288</t>
  </si>
  <si>
    <t>dish_1558630325</t>
  </si>
  <si>
    <t>dish_1558635400</t>
  </si>
  <si>
    <t>dish_1558635489</t>
  </si>
  <si>
    <t>dish_1558635523</t>
  </si>
  <si>
    <t>dish_1558635546</t>
  </si>
  <si>
    <t>dish_1558635618</t>
  </si>
  <si>
    <t>dish_1558639412</t>
  </si>
  <si>
    <t>dish_1558639440</t>
  </si>
  <si>
    <t>dish_1558639482</t>
  </si>
  <si>
    <t>dish_1558639526</t>
  </si>
  <si>
    <t>dish_1558639555</t>
  </si>
  <si>
    <t>dish_1558639787</t>
  </si>
  <si>
    <t>dish_1558639818</t>
  </si>
  <si>
    <t>dish_1558639849</t>
  </si>
  <si>
    <t>dish_1558639876</t>
  </si>
  <si>
    <t>dish_1558641164</t>
  </si>
  <si>
    <t>dish_1558641200</t>
  </si>
  <si>
    <t>dish_1558641253</t>
  </si>
  <si>
    <t>dish_1558641287</t>
  </si>
  <si>
    <t>dish_1558641320</t>
  </si>
  <si>
    <t>dish_1558717604</t>
  </si>
  <si>
    <t>dish_1558718587</t>
  </si>
  <si>
    <t>dish_1558718610</t>
  </si>
  <si>
    <t>dish_1558718649</t>
  </si>
  <si>
    <t>dish_1558718680</t>
  </si>
  <si>
    <t>dish_1558718906</t>
  </si>
  <si>
    <t>dish_1558719570</t>
  </si>
  <si>
    <t>dish_1558719994</t>
  </si>
  <si>
    <t>dish_1558720097</t>
  </si>
  <si>
    <t>dish_1558720133</t>
  </si>
  <si>
    <t>dish_1558720236</t>
  </si>
  <si>
    <t>dish_1558722125</t>
  </si>
  <si>
    <t>dish_1558722171</t>
  </si>
  <si>
    <t>dish_1558722207</t>
  </si>
  <si>
    <t>dish_1558722247</t>
  </si>
  <si>
    <t>dish_1559157454</t>
  </si>
  <si>
    <t>dish_1559157777</t>
  </si>
  <si>
    <t>dish_1559157919</t>
  </si>
  <si>
    <t>dish_1559233445</t>
  </si>
  <si>
    <t>dish_1559233570</t>
  </si>
  <si>
    <t>dish_1559233627</t>
  </si>
  <si>
    <t>dish_1559233715</t>
  </si>
  <si>
    <t>dish_1559233756</t>
  </si>
  <si>
    <t>dish_1559238993</t>
  </si>
  <si>
    <t>dish_1559239151</t>
  </si>
  <si>
    <t>dish_1559239256</t>
  </si>
  <si>
    <t>dish_1559239369</t>
  </si>
  <si>
    <t>dish_1559578551</t>
  </si>
  <si>
    <t>dish_1559578579</t>
  </si>
  <si>
    <t>dish_1559578599</t>
  </si>
  <si>
    <t>dish_1559841950</t>
  </si>
  <si>
    <t>dish_1559841979</t>
  </si>
  <si>
    <t>dish_1559842047</t>
  </si>
  <si>
    <t>dish_1559844272</t>
  </si>
  <si>
    <t>dish_1559844323</t>
  </si>
  <si>
    <t>dish_1559844366</t>
  </si>
  <si>
    <t>dish_1559844458</t>
  </si>
  <si>
    <t>dish_1559844490</t>
  </si>
  <si>
    <t>dish_1559846688</t>
  </si>
  <si>
    <t>dish_1559849020</t>
  </si>
  <si>
    <t>dish_1559849053</t>
  </si>
  <si>
    <t>dish_1559849097</t>
  </si>
  <si>
    <t>dish_1559849412</t>
  </si>
  <si>
    <t>dish_1559849466</t>
  </si>
  <si>
    <t>dish_1559849497</t>
  </si>
  <si>
    <t>dish_1559849537</t>
  </si>
  <si>
    <t>dish_1559850283</t>
  </si>
  <si>
    <t>dish_1559850314</t>
  </si>
  <si>
    <t>dish_1559850338</t>
  </si>
  <si>
    <t>dish_1559934477</t>
  </si>
  <si>
    <t>dish_1560203400</t>
  </si>
  <si>
    <t>dish_1560203424</t>
  </si>
  <si>
    <t>dish_1560367904</t>
  </si>
  <si>
    <t>dish_1560367926</t>
  </si>
  <si>
    <t>dish_1560367952</t>
  </si>
  <si>
    <t>dish_1560367980</t>
  </si>
  <si>
    <t>dish_1560368019</t>
  </si>
  <si>
    <t>dish_1560368395</t>
  </si>
  <si>
    <t>dish_1560368464</t>
  </si>
  <si>
    <t>dish_1560368506</t>
  </si>
  <si>
    <t>dish_1560368570</t>
  </si>
  <si>
    <t>dish_1560444869</t>
  </si>
  <si>
    <t>dish_1560444892</t>
  </si>
  <si>
    <t>dish_1560444914</t>
  </si>
  <si>
    <t>dish_1560444931</t>
  </si>
  <si>
    <t>dish_1560444948</t>
  </si>
  <si>
    <t>dish_1560444967</t>
  </si>
  <si>
    <t>dish_1560444985</t>
  </si>
  <si>
    <t>dish_1560445004</t>
  </si>
  <si>
    <t>dish_1560456305</t>
  </si>
  <si>
    <t>dish_1560456326</t>
  </si>
  <si>
    <t>dish_1560456348</t>
  </si>
  <si>
    <t>dish_1560456370</t>
  </si>
  <si>
    <t>dish_1560526408</t>
  </si>
  <si>
    <t>dish_1560526447</t>
  </si>
  <si>
    <t>dish_1560526472</t>
  </si>
  <si>
    <t>dish_1560526490</t>
  </si>
  <si>
    <t>dish_1560526514</t>
  </si>
  <si>
    <t>dish_1560526530</t>
  </si>
  <si>
    <t>dish_1560526552</t>
  </si>
  <si>
    <t>dish_1560800918</t>
  </si>
  <si>
    <t>dish_1560800951</t>
  </si>
  <si>
    <t>dish_1560800988</t>
  </si>
  <si>
    <t>dish_1560801020</t>
  </si>
  <si>
    <t>dish_1560801041</t>
  </si>
  <si>
    <t>dish_1560801773</t>
  </si>
  <si>
    <t>dish_1560801797</t>
  </si>
  <si>
    <t>dish_1560801829</t>
  </si>
  <si>
    <t>dish_1560801859</t>
  </si>
  <si>
    <t>dish_1560801883</t>
  </si>
  <si>
    <t>dish_1560975491</t>
  </si>
  <si>
    <t>dish_1560975517</t>
  </si>
  <si>
    <t>dish_1560975572</t>
  </si>
  <si>
    <t>dish_1560975601</t>
  </si>
  <si>
    <t>dish_1560975628</t>
  </si>
  <si>
    <t>dish_1561147944</t>
  </si>
  <si>
    <t>dish_1561147967</t>
  </si>
  <si>
    <t>dish_1561147997</t>
  </si>
  <si>
    <t>dish_1561148021</t>
  </si>
  <si>
    <t>dish_1561148042</t>
  </si>
  <si>
    <t>dish_1561393715</t>
  </si>
  <si>
    <t>dish_1561393741</t>
  </si>
  <si>
    <t>dish_1561393764</t>
  </si>
  <si>
    <t>dish_1561405332</t>
  </si>
  <si>
    <t>dish_1561405356</t>
  </si>
  <si>
    <t>dish_1561405389</t>
  </si>
  <si>
    <t>dish_1561405411</t>
  </si>
  <si>
    <t>dish_1561574368</t>
  </si>
  <si>
    <t>dish_1561574394</t>
  </si>
  <si>
    <t>dish_1561574428</t>
  </si>
  <si>
    <t>dish_1561574456</t>
  </si>
  <si>
    <t>dish_1561574479</t>
  </si>
  <si>
    <t>dish_1561574783</t>
  </si>
  <si>
    <t>dish_1561574815</t>
  </si>
  <si>
    <t>dish_1561574848</t>
  </si>
  <si>
    <t>dish_1561577848</t>
  </si>
  <si>
    <t>dish_1561577947</t>
  </si>
  <si>
    <t>dish_1561578775</t>
  </si>
  <si>
    <t>dish_1561578800</t>
  </si>
  <si>
    <t>dish_1561578839</t>
  </si>
  <si>
    <t>dish_1561578865</t>
  </si>
  <si>
    <t>dish_1561654326</t>
  </si>
  <si>
    <t>dish_1561654346</t>
  </si>
  <si>
    <t>dish_1561654374</t>
  </si>
  <si>
    <t>dish_1561654392</t>
  </si>
  <si>
    <t>dish_1561661324</t>
  </si>
  <si>
    <t>dish_1561661347</t>
  </si>
  <si>
    <t>dish_1561661377</t>
  </si>
  <si>
    <t>dish_1561662160</t>
  </si>
  <si>
    <t>dish_1561662190</t>
  </si>
  <si>
    <t>dish_1561662216</t>
  </si>
  <si>
    <t>dish_1561662814</t>
  </si>
  <si>
    <t>dish_1561662842</t>
  </si>
  <si>
    <t>dish_1561662869</t>
  </si>
  <si>
    <t>dish_1561662926</t>
  </si>
  <si>
    <t>dish_1561663541</t>
  </si>
  <si>
    <t>dish_1561663580</t>
  </si>
  <si>
    <t>dish_1561663606</t>
  </si>
  <si>
    <t>dish_1561667207</t>
  </si>
  <si>
    <t>dish_1561667238</t>
  </si>
  <si>
    <t>dish_1561739160</t>
  </si>
  <si>
    <t>dish_1561739188</t>
  </si>
  <si>
    <t>dish_1561739212</t>
  </si>
  <si>
    <t>dish_1561739238</t>
  </si>
  <si>
    <t>dish_1561739265</t>
  </si>
  <si>
    <t>dish_1561741063</t>
  </si>
  <si>
    <t>dish_1561741090</t>
  </si>
  <si>
    <t>dish_1562008936</t>
  </si>
  <si>
    <t>dish_1562008979</t>
  </si>
  <si>
    <t>dish_1562009006</t>
  </si>
  <si>
    <t>dish_1562009810</t>
  </si>
  <si>
    <t>dish_1562009894</t>
  </si>
  <si>
    <t>dish_1562009934</t>
  </si>
  <si>
    <t>dish_1562085672</t>
  </si>
  <si>
    <t>dish_1562099053</t>
  </si>
  <si>
    <t>dish_1562099076</t>
  </si>
  <si>
    <t>dish_1562099134</t>
  </si>
  <si>
    <t>dish_1562099157</t>
  </si>
  <si>
    <t>dish_1562168648</t>
  </si>
  <si>
    <t>dish_1562168673</t>
  </si>
  <si>
    <t>dish_1562168696</t>
  </si>
  <si>
    <t>dish_1562168800</t>
  </si>
  <si>
    <t>dish_1562172561</t>
  </si>
  <si>
    <t>dish_1562172600</t>
  </si>
  <si>
    <t>dish_1562172643</t>
  </si>
  <si>
    <t>dish_1562617703</t>
  </si>
  <si>
    <t>dish_1562617939</t>
  </si>
  <si>
    <t>dish_1562618000</t>
  </si>
  <si>
    <t>dish_1562690886</t>
  </si>
  <si>
    <t>dish_1562690917</t>
  </si>
  <si>
    <t>dish_1562690950</t>
  </si>
  <si>
    <t>dish_1562691000</t>
  </si>
  <si>
    <t>dish_1562691032</t>
  </si>
  <si>
    <t>dish_1562691064</t>
  </si>
  <si>
    <t>dish_1562700496</t>
  </si>
  <si>
    <t>dish_1562700568</t>
  </si>
  <si>
    <t>dish_1562700593</t>
  </si>
  <si>
    <t>dish_1562703345</t>
  </si>
  <si>
    <t>dish_1562703382</t>
  </si>
  <si>
    <t>dish_1562703408</t>
  </si>
  <si>
    <t>dish_1562703447</t>
  </si>
  <si>
    <t>dish_1562774099</t>
  </si>
  <si>
    <t>dish_1562774129</t>
  </si>
  <si>
    <t>dish_1562774159</t>
  </si>
  <si>
    <t>dish_1562774180</t>
  </si>
  <si>
    <t>dish_1562774206</t>
  </si>
  <si>
    <t>dish_1562776428</t>
  </si>
  <si>
    <t>dish_1562776465</t>
  </si>
  <si>
    <t>dish_1562776497</t>
  </si>
  <si>
    <t>dish_1562786103</t>
  </si>
  <si>
    <t>dish_1562788506</t>
  </si>
  <si>
    <t>dish_1562788536</t>
  </si>
  <si>
    <t>dish_1562788568</t>
  </si>
  <si>
    <t>dish_1562788601</t>
  </si>
  <si>
    <t>dish_1562790775</t>
  </si>
  <si>
    <t>dish_1562790824</t>
  </si>
  <si>
    <t>dish_1562790855</t>
  </si>
  <si>
    <t>dish_1562876494</t>
  </si>
  <si>
    <t>dish_1562876531</t>
  </si>
  <si>
    <t>dish_1562963246</t>
  </si>
  <si>
    <t>dish_1562963289</t>
  </si>
  <si>
    <t>dish_1562963325</t>
  </si>
  <si>
    <t>dish_1563208412</t>
  </si>
  <si>
    <t>dish_1563208439</t>
  </si>
  <si>
    <t>dish_1563208459</t>
  </si>
  <si>
    <t>dish_1563218408</t>
  </si>
  <si>
    <t>dish_1563220987</t>
  </si>
  <si>
    <t>dish_1563221025</t>
  </si>
  <si>
    <t>dish_1563221054</t>
  </si>
  <si>
    <t>dish_1563221086</t>
  </si>
  <si>
    <t>dish_1563221157</t>
  </si>
  <si>
    <t>dish_1563294987</t>
  </si>
  <si>
    <t>dish_1563295016</t>
  </si>
  <si>
    <t>dish_1563295044</t>
  </si>
  <si>
    <t>dish_1563305513</t>
  </si>
  <si>
    <t>dish_1563389548</t>
  </si>
  <si>
    <t>dish_1563389600</t>
  </si>
  <si>
    <t>dish_1563389626</t>
  </si>
  <si>
    <t>dish_1563478751</t>
  </si>
  <si>
    <t>dish_1563551105</t>
  </si>
  <si>
    <t>dish_1563551134</t>
  </si>
  <si>
    <t>dish_1563551164</t>
  </si>
  <si>
    <t>dish_1563551194</t>
  </si>
  <si>
    <t>dish_1563551220</t>
  </si>
  <si>
    <t>dish_1563565289</t>
  </si>
  <si>
    <t>dish_1563565323</t>
  </si>
  <si>
    <t>dish_1563565354</t>
  </si>
  <si>
    <t>dish_1563565415</t>
  </si>
  <si>
    <t>dish_1563565454</t>
  </si>
  <si>
    <t>dish_1563565508</t>
  </si>
  <si>
    <t>dish_1563566909</t>
  </si>
  <si>
    <t>dish_1563566939</t>
  </si>
  <si>
    <t>dish_1563566965</t>
  </si>
  <si>
    <t>dish_1563897047</t>
  </si>
  <si>
    <t>dish_1563897087</t>
  </si>
  <si>
    <t>dish_1563897938</t>
  </si>
  <si>
    <t>dish_1563897981</t>
  </si>
  <si>
    <t>dish_1563898019</t>
  </si>
  <si>
    <t>dish_1563898084</t>
  </si>
  <si>
    <t>dish_1563898107</t>
  </si>
  <si>
    <t>dish_1563909469</t>
  </si>
  <si>
    <t>dish_1563909507</t>
  </si>
  <si>
    <t>dish_1563909550</t>
  </si>
  <si>
    <t>dish_1563909580</t>
  </si>
  <si>
    <t>dish_1563984140</t>
  </si>
  <si>
    <t>dish_1563984167</t>
  </si>
  <si>
    <t>dish_1563984199</t>
  </si>
  <si>
    <t>dish_1563984242</t>
  </si>
  <si>
    <t>dish_1563984296</t>
  </si>
  <si>
    <t>dish_1563996441</t>
  </si>
  <si>
    <t>dish_1563996464</t>
  </si>
  <si>
    <t>dish_1563996485</t>
  </si>
  <si>
    <t>dish_1563996509</t>
  </si>
  <si>
    <t>dish_1563998210</t>
  </si>
  <si>
    <t>dish_1563998244</t>
  </si>
  <si>
    <t>dish_1563998279</t>
  </si>
  <si>
    <t>dish_1563998323</t>
  </si>
  <si>
    <t>dish_1563998513</t>
  </si>
  <si>
    <t>dish_1564160043</t>
  </si>
  <si>
    <t>dish_1564427406</t>
  </si>
  <si>
    <t>dish_1564427430</t>
  </si>
  <si>
    <t>dish_1564427455</t>
  </si>
  <si>
    <t>dish_1564428102</t>
  </si>
  <si>
    <t>dish_1564428144</t>
  </si>
  <si>
    <t>dish_1564428181</t>
  </si>
  <si>
    <t>dish_1564588820</t>
  </si>
  <si>
    <t>dish_1564588859</t>
  </si>
  <si>
    <t>dish_1564588889</t>
  </si>
  <si>
    <t>dish_1564588919</t>
  </si>
  <si>
    <t>dish_1564675380</t>
  </si>
  <si>
    <t>dish_1564675411</t>
  </si>
  <si>
    <t>dish_1564686966</t>
  </si>
  <si>
    <t>dish_1564687013</t>
  </si>
  <si>
    <t>dish_1564687046</t>
  </si>
  <si>
    <t>dish_1564687090</t>
  </si>
  <si>
    <t>dish_1564689078</t>
  </si>
  <si>
    <t>dish_1564689108</t>
  </si>
  <si>
    <t>dish_1564689138</t>
  </si>
  <si>
    <t>dish_1564689168</t>
  </si>
  <si>
    <t>dish_1564689219</t>
  </si>
  <si>
    <t>dish_1564773826</t>
  </si>
  <si>
    <t>dish_1564773847</t>
  </si>
  <si>
    <t>dish_1564773876</t>
  </si>
  <si>
    <t>dish_1564773903</t>
  </si>
  <si>
    <t>dish_1564773942</t>
  </si>
  <si>
    <t>dish_1564773976</t>
  </si>
  <si>
    <t>dish_1565020755</t>
  </si>
  <si>
    <t>dish_1565020796</t>
  </si>
  <si>
    <t>dish_1565020822</t>
  </si>
  <si>
    <t>dish_1565020867</t>
  </si>
  <si>
    <t>dish_1565020895</t>
  </si>
  <si>
    <t>dish_1565020926</t>
  </si>
  <si>
    <t>dish_1565030350</t>
  </si>
  <si>
    <t>dish_1565030391</t>
  </si>
  <si>
    <t>dish_1565034605</t>
  </si>
  <si>
    <t>dish_1565034635</t>
  </si>
  <si>
    <t>dish_1565034661</t>
  </si>
  <si>
    <t>dish_1565034681</t>
  </si>
  <si>
    <t>dish_1565035715</t>
  </si>
  <si>
    <t>dish_1565035746</t>
  </si>
  <si>
    <t>dish_1565035774</t>
  </si>
  <si>
    <t>dish_1565035802</t>
  </si>
  <si>
    <t>dish_1565035830</t>
  </si>
  <si>
    <t>dish_1565035858</t>
  </si>
  <si>
    <t>dish_1565117429</t>
  </si>
  <si>
    <t>dish_1565117463</t>
  </si>
  <si>
    <t>dish_1565118700</t>
  </si>
  <si>
    <t>dish_1565118729</t>
  </si>
  <si>
    <t>dish_1565118782</t>
  </si>
  <si>
    <t>dish_1565123783</t>
  </si>
  <si>
    <t>dish_1565123816</t>
  </si>
  <si>
    <t>dish_1565123845</t>
  </si>
  <si>
    <t>dish_1565123881</t>
  </si>
  <si>
    <t>dish_1565638478</t>
  </si>
  <si>
    <t>dish_1565638515</t>
  </si>
  <si>
    <t>dish_1565638550</t>
  </si>
  <si>
    <t>dish_1565638599</t>
  </si>
  <si>
    <t>dish_1565711453</t>
  </si>
  <si>
    <t>dish_1565711498</t>
  </si>
  <si>
    <t>dish_1565711527</t>
  </si>
  <si>
    <t>dish_1565711570</t>
  </si>
  <si>
    <t>dish_1565810969</t>
  </si>
  <si>
    <t>dish_1565811000</t>
  </si>
  <si>
    <t>dish_1565811025</t>
  </si>
  <si>
    <t>dish_1565811061</t>
  </si>
  <si>
    <t>dish_1565811091</t>
  </si>
  <si>
    <t>dish_1565811139</t>
  </si>
  <si>
    <t>dish_1565894858</t>
  </si>
  <si>
    <t>dish_1565894889</t>
  </si>
  <si>
    <t>dish_1565894910</t>
  </si>
  <si>
    <t>dish_1565896662</t>
  </si>
  <si>
    <t>dish_1565896701</t>
  </si>
  <si>
    <t>dish_1565896745</t>
  </si>
  <si>
    <t>dish_1565898128</t>
  </si>
  <si>
    <t>dish_1565898158</t>
  </si>
  <si>
    <t>dish_1565898193</t>
  </si>
  <si>
    <t>dish_1565898230</t>
  </si>
  <si>
    <t>dish_1565898331</t>
  </si>
  <si>
    <t>dish_1565898361</t>
  </si>
  <si>
    <t>dish_1565898402</t>
  </si>
  <si>
    <t>dish_1565898432</t>
  </si>
  <si>
    <t>dish_1565974375</t>
  </si>
  <si>
    <t>dish_1565974409</t>
  </si>
  <si>
    <t>dish_1565986702</t>
  </si>
  <si>
    <t>dish_1565986733</t>
  </si>
  <si>
    <t>dish_1566316681</t>
  </si>
  <si>
    <t>dish_1566316726</t>
  </si>
  <si>
    <t>dish_1566316757</t>
  </si>
  <si>
    <t>dish_1566328724</t>
  </si>
  <si>
    <t>dish_1566328745</t>
  </si>
  <si>
    <t>dish_1566328776</t>
  </si>
  <si>
    <t>dish_1566328805</t>
  </si>
  <si>
    <t>dish_1566328831</t>
  </si>
  <si>
    <t>dish_1566414225</t>
  </si>
  <si>
    <t>dish_1566414291</t>
  </si>
  <si>
    <t>dish_1566414342</t>
  </si>
  <si>
    <t>dish_1566414412</t>
  </si>
  <si>
    <t>dish_1566416701</t>
  </si>
  <si>
    <t>dish_1566501575</t>
  </si>
  <si>
    <t>dish_1566501594</t>
  </si>
  <si>
    <t>dish_1566502437</t>
  </si>
  <si>
    <t>dish_1566502472</t>
  </si>
  <si>
    <t>dish_1566502505</t>
  </si>
  <si>
    <t>dish_1566502537</t>
  </si>
  <si>
    <t>dish_1566502573</t>
  </si>
  <si>
    <t>dish_1566587102</t>
  </si>
  <si>
    <t>dish_1566587143</t>
  </si>
  <si>
    <t>dish_1566587182</t>
  </si>
  <si>
    <t>dish_1566589933</t>
  </si>
  <si>
    <t>dish_1566589967</t>
  </si>
  <si>
    <t>dish_1566590007</t>
  </si>
  <si>
    <t>dish_1566590056</t>
  </si>
  <si>
    <t>dish_1566838286</t>
  </si>
  <si>
    <t>dish_1566838317</t>
  </si>
  <si>
    <t>dish_1566838351</t>
  </si>
  <si>
    <t>dish_1566838378</t>
  </si>
  <si>
    <t>dish_1566838407</t>
  </si>
  <si>
    <t>dish_1566849862</t>
  </si>
  <si>
    <t>dish_1566849895</t>
  </si>
  <si>
    <t>dish_1566849923</t>
  </si>
  <si>
    <t>dish_1566849955</t>
  </si>
  <si>
    <t>dish_1566849987</t>
  </si>
  <si>
    <t>dish_1566850031</t>
  </si>
  <si>
    <t>dish_1566850099</t>
  </si>
  <si>
    <t>dish_1566850142</t>
  </si>
  <si>
    <t>dish_1566851549</t>
  </si>
  <si>
    <t>dish_1566851584</t>
  </si>
  <si>
    <t>dish_1566851616</t>
  </si>
  <si>
    <t>dish_1566851677</t>
  </si>
  <si>
    <t>dish_1566851704</t>
  </si>
  <si>
    <t>dish_1566920304</t>
  </si>
  <si>
    <t>dish_1566920339</t>
  </si>
  <si>
    <t>dish_1566920365</t>
  </si>
  <si>
    <t>dish_1567007719</t>
  </si>
  <si>
    <t>dish_1567007751</t>
  </si>
  <si>
    <t>dish_1567007783</t>
  </si>
  <si>
    <t>dish_1567007814</t>
  </si>
  <si>
    <t>dish_1567007848</t>
  </si>
  <si>
    <t>dish_1567107839</t>
  </si>
  <si>
    <t>dish_1567785622</t>
  </si>
  <si>
    <t>dish_1567785654</t>
  </si>
  <si>
    <t>dish_1567785709</t>
  </si>
  <si>
    <t>dish_1567785739</t>
  </si>
  <si>
    <t>dish_1567785778</t>
  </si>
  <si>
    <t>dish_1568305198</t>
  </si>
  <si>
    <t>dish_1568305225</t>
  </si>
  <si>
    <t>dish_1568305257</t>
  </si>
  <si>
    <t>dish_1568401167</t>
  </si>
  <si>
    <t>dish_1568401199</t>
  </si>
  <si>
    <t>dish_1568401233</t>
  </si>
  <si>
    <t>dish_1568401261</t>
  </si>
  <si>
    <t>dish_1568401302</t>
  </si>
  <si>
    <t>OPEN AI ESTIMATION</t>
  </si>
  <si>
    <t>GEMINI ESTIMATION</t>
  </si>
  <si>
    <t>ACTUAL</t>
  </si>
  <si>
    <t>MSE</t>
  </si>
  <si>
    <t>RMSE</t>
  </si>
  <si>
    <t>MAE</t>
  </si>
  <si>
    <t>OPEN AI</t>
  </si>
  <si>
    <t>CLAUDE</t>
  </si>
  <si>
    <t>GEMINI</t>
  </si>
  <si>
    <t>CLAUDE ESTIMATION (HAIKU 4.5)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</si>
</sst>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5">
    <dxf>
      <numFmt numFmtId="164" formatCode="#,##0.0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55B3701-A59F-4D80-B16D-76C70E19B771}" autoFormatId="16" applyNumberFormats="0" applyBorderFormats="0" applyFontFormats="0" applyPatternFormats="0" applyAlignmentFormats="0" applyWidthHeightFormats="0">
  <queryTableRefresh nextId="10" unboundColumnsRight="3">
    <queryTableFields count="5">
      <queryTableField id="1" name="dish_id" tableColumnId="1"/>
      <queryTableField id="2" name="total_carb" tableColumnId="2"/>
      <queryTableField id="6" dataBound="0" tableColumnId="6"/>
      <queryTableField id="5" dataBound="0" tableColumnId="5"/>
      <queryTableField id="9" dataBound="0" tableColumnId="9"/>
    </queryTableFields>
    <queryTableDeletedFields count="2">
      <deletedField name="source_cafe"/>
      <deletedField name="spl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CB08C-5DE3-4884-8AC0-BC47A7AA905B}" name="dish_carb_split_metadata__1" displayName="dish_carb_split_metadata__1" ref="A1:E508" tableType="queryTable" totalsRowShown="0">
  <autoFilter ref="A1:E508" xr:uid="{BEFCB08C-5DE3-4884-8AC0-BC47A7AA905B}"/>
  <tableColumns count="5">
    <tableColumn id="1" xr3:uid="{68B708C6-B04B-405F-ACF6-0016C449E956}" uniqueName="1" name="dish_id" queryTableFieldId="1" dataDxfId="4"/>
    <tableColumn id="2" xr3:uid="{7B6B20B3-E1B2-4353-A8B9-A8B1B63EC4C9}" uniqueName="2" name="OPEN AI ESTIMATION" queryTableFieldId="2" dataDxfId="3"/>
    <tableColumn id="6" xr3:uid="{85F92EDB-640F-43BA-B1A7-CB2F09C265E5}" uniqueName="6" name="CLAUDE ESTIMATION (HAIKU 4.5)" queryTableFieldId="6" dataDxfId="2"/>
    <tableColumn id="5" xr3:uid="{B7EB61EC-339F-4006-9674-5A31787BD10D}" uniqueName="5" name="GEMINI ESTIMATION" queryTableFieldId="5" dataDxfId="1"/>
    <tableColumn id="9" xr3:uid="{20907901-6D74-4B9C-8E61-7D63CF499B0A}" uniqueName="9" name="ACTUA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9B4-7637-4DFA-A1FC-24D9A222F300}">
  <dimension ref="A1:J508"/>
  <sheetViews>
    <sheetView tabSelected="1" topLeftCell="B1" workbookViewId="0">
      <selection activeCell="G15" sqref="G15"/>
    </sheetView>
  </sheetViews>
  <sheetFormatPr defaultRowHeight="15" x14ac:dyDescent="0.25"/>
  <cols>
    <col min="1" max="1" width="15.85546875" bestFit="1" customWidth="1"/>
    <col min="2" max="2" width="22.28515625" customWidth="1"/>
    <col min="3" max="3" width="23.7109375" customWidth="1"/>
    <col min="4" max="4" width="22.140625" customWidth="1"/>
    <col min="5" max="5" width="19.5703125" customWidth="1"/>
  </cols>
  <sheetData>
    <row r="1" spans="1:10" x14ac:dyDescent="0.25">
      <c r="A1" t="s">
        <v>0</v>
      </c>
      <c r="B1" t="s">
        <v>508</v>
      </c>
      <c r="C1" t="s">
        <v>517</v>
      </c>
      <c r="D1" t="s">
        <v>509</v>
      </c>
      <c r="E1" t="s">
        <v>510</v>
      </c>
      <c r="H1" t="s">
        <v>514</v>
      </c>
      <c r="I1" t="s">
        <v>515</v>
      </c>
      <c r="J1" t="s">
        <v>516</v>
      </c>
    </row>
    <row r="2" spans="1:10" x14ac:dyDescent="0.25">
      <c r="A2" t="s">
        <v>1</v>
      </c>
      <c r="B2" s="1">
        <v>8</v>
      </c>
      <c r="C2" s="1">
        <v>57.5</v>
      </c>
      <c r="D2" s="1">
        <v>12</v>
      </c>
      <c r="E2" s="2">
        <v>10.618</v>
      </c>
      <c r="G2" s="1" t="s">
        <v>511</v>
      </c>
      <c r="H2" s="1" cm="1">
        <f t="array" ref="H2">AVERAGE((dish_carb_split_metadata__1[OPEN AI ESTIMATION]-dish_carb_split_metadata__1[ACTUAL])^2)</f>
        <v>88.413392776624349</v>
      </c>
      <c r="I2" cm="1">
        <f t="array" ref="I2">AVERAGE((C2:C508-E2:E508)^2)</f>
        <v>208.70839494191043</v>
      </c>
      <c r="J2" cm="1">
        <f t="array" ref="J2">AVERAGE((dish_carb_split_metadata__1[GEMINI ESTIMATION]-dish_carb_split_metadata__1[ACTUAL])^2)</f>
        <v>128.96942242747255</v>
      </c>
    </row>
    <row r="3" spans="1:10" x14ac:dyDescent="0.25">
      <c r="A3" t="s">
        <v>2</v>
      </c>
      <c r="B3" s="1">
        <v>0</v>
      </c>
      <c r="C3" s="1">
        <v>0</v>
      </c>
      <c r="D3" s="1">
        <v>0</v>
      </c>
      <c r="E3" s="2">
        <v>0</v>
      </c>
      <c r="G3" s="1" t="s">
        <v>512</v>
      </c>
      <c r="H3" s="1">
        <f>SQRT(H2)</f>
        <v>9.402839612405625</v>
      </c>
      <c r="I3">
        <f>SQRT(I2)</f>
        <v>14.44674340264651</v>
      </c>
      <c r="J3">
        <f>SQRT(J2)</f>
        <v>11.356470509250334</v>
      </c>
    </row>
    <row r="4" spans="1:10" x14ac:dyDescent="0.25">
      <c r="A4" t="s">
        <v>3</v>
      </c>
      <c r="B4" s="1">
        <v>8</v>
      </c>
      <c r="C4" s="1">
        <v>0.5</v>
      </c>
      <c r="D4" s="1">
        <v>0</v>
      </c>
      <c r="E4" s="2">
        <v>0</v>
      </c>
      <c r="G4" s="1" t="s">
        <v>513</v>
      </c>
      <c r="H4" s="1" cm="1">
        <f t="array" ref="H4">AVERAGE(ABS(dish_carb_split_metadata__1[OPEN AI ESTIMATION]-dish_carb_split_metadata__1[ACTUAL]))</f>
        <v>6.7807998082840264</v>
      </c>
      <c r="I4" s="1" cm="1">
        <f t="array" ref="I4">AVERAGE(ABS(dish_carb_split_metadata__1[CLAUDE ESTIMATION (HAIKU 4.5)]-dish_carb_split_metadata__1[ACTUAL]))</f>
        <v>9.4832572485207187</v>
      </c>
      <c r="J4" s="1" cm="1">
        <f t="array" ref="J4">AVERAGE(ABS(dish_carb_split_metadata__1[GEMINI ESTIMATION]-dish_carb_split_metadata__1[ACTUAL]))</f>
        <v>7.7667879660749541</v>
      </c>
    </row>
    <row r="5" spans="1:10" x14ac:dyDescent="0.25">
      <c r="A5" t="s">
        <v>4</v>
      </c>
      <c r="B5" s="1">
        <v>15</v>
      </c>
      <c r="C5" s="1">
        <v>15</v>
      </c>
      <c r="D5" s="1">
        <v>5</v>
      </c>
      <c r="E5" s="2">
        <v>3.85</v>
      </c>
      <c r="G5" s="1"/>
      <c r="H5" s="1"/>
    </row>
    <row r="6" spans="1:10" x14ac:dyDescent="0.25">
      <c r="A6" t="s">
        <v>5</v>
      </c>
      <c r="B6" s="1">
        <v>0</v>
      </c>
      <c r="C6" s="1">
        <v>1</v>
      </c>
      <c r="D6" s="1">
        <v>0</v>
      </c>
      <c r="E6" s="2">
        <v>0</v>
      </c>
      <c r="G6" s="1"/>
      <c r="H6" s="1"/>
    </row>
    <row r="7" spans="1:10" x14ac:dyDescent="0.25">
      <c r="A7" t="s">
        <v>6</v>
      </c>
      <c r="B7" s="1">
        <v>25</v>
      </c>
      <c r="C7" s="1">
        <v>18</v>
      </c>
      <c r="D7" s="1">
        <v>5</v>
      </c>
      <c r="E7" s="2">
        <v>3.85</v>
      </c>
      <c r="G7" s="1"/>
      <c r="H7" s="1"/>
    </row>
    <row r="8" spans="1:10" x14ac:dyDescent="0.25">
      <c r="A8" t="s">
        <v>7</v>
      </c>
      <c r="B8" s="1">
        <v>2</v>
      </c>
      <c r="C8" s="1">
        <v>1.5</v>
      </c>
      <c r="D8" s="1">
        <v>1</v>
      </c>
      <c r="E8" s="2">
        <v>1.1519999999999999</v>
      </c>
      <c r="G8" s="1"/>
      <c r="H8" s="1"/>
    </row>
    <row r="9" spans="1:10" x14ac:dyDescent="0.25">
      <c r="A9" t="s">
        <v>8</v>
      </c>
      <c r="B9" s="1">
        <v>4</v>
      </c>
      <c r="C9" s="1">
        <v>3.5</v>
      </c>
      <c r="D9" s="1">
        <v>3</v>
      </c>
      <c r="E9" s="2">
        <v>4.41</v>
      </c>
      <c r="G9" s="1"/>
      <c r="H9" s="1"/>
    </row>
    <row r="10" spans="1:10" x14ac:dyDescent="0.25">
      <c r="A10" t="s">
        <v>9</v>
      </c>
      <c r="B10" s="1">
        <v>2.5</v>
      </c>
      <c r="C10" s="1">
        <v>4</v>
      </c>
      <c r="D10" s="1">
        <v>3</v>
      </c>
      <c r="E10" s="2">
        <v>2.88</v>
      </c>
      <c r="G10" s="1"/>
      <c r="H10" s="1"/>
    </row>
    <row r="11" spans="1:10" x14ac:dyDescent="0.25">
      <c r="A11" t="s">
        <v>10</v>
      </c>
      <c r="B11" s="1">
        <v>4</v>
      </c>
      <c r="C11" s="1">
        <v>5.5</v>
      </c>
      <c r="D11" s="1">
        <v>5</v>
      </c>
      <c r="E11" s="2">
        <v>5.88</v>
      </c>
      <c r="G11" s="1"/>
      <c r="H11" s="1"/>
    </row>
    <row r="12" spans="1:10" x14ac:dyDescent="0.25">
      <c r="A12" t="s">
        <v>11</v>
      </c>
      <c r="B12" s="1">
        <v>0</v>
      </c>
      <c r="C12" s="1">
        <v>0.5</v>
      </c>
      <c r="D12" s="1">
        <v>0.3</v>
      </c>
      <c r="E12" s="2">
        <v>0.378</v>
      </c>
      <c r="G12" s="1"/>
      <c r="H12" s="1"/>
    </row>
    <row r="13" spans="1:10" x14ac:dyDescent="0.25">
      <c r="A13" t="s">
        <v>12</v>
      </c>
      <c r="B13" s="1">
        <v>15</v>
      </c>
      <c r="C13" s="1">
        <v>14</v>
      </c>
      <c r="D13" s="1">
        <v>12</v>
      </c>
      <c r="E13" s="2">
        <v>14.700001</v>
      </c>
      <c r="G13" s="1"/>
      <c r="H13" s="1"/>
    </row>
    <row r="14" spans="1:10" x14ac:dyDescent="0.25">
      <c r="A14" t="s">
        <v>13</v>
      </c>
      <c r="B14" s="1">
        <v>15</v>
      </c>
      <c r="C14" s="1">
        <v>8</v>
      </c>
      <c r="D14" s="1">
        <v>9.5</v>
      </c>
      <c r="E14" s="2">
        <v>11.172000000000001</v>
      </c>
      <c r="G14" s="1"/>
      <c r="H14" s="1"/>
    </row>
    <row r="15" spans="1:10" x14ac:dyDescent="0.25">
      <c r="A15" t="s">
        <v>14</v>
      </c>
      <c r="B15" s="1">
        <v>1</v>
      </c>
      <c r="C15" s="1">
        <v>1</v>
      </c>
      <c r="D15" s="1">
        <v>0.4</v>
      </c>
      <c r="E15" s="2">
        <v>0.20399999999999999</v>
      </c>
      <c r="G15" s="1"/>
      <c r="H15" s="1"/>
    </row>
    <row r="16" spans="1:10" x14ac:dyDescent="0.25">
      <c r="A16" t="s">
        <v>15</v>
      </c>
      <c r="B16" s="1">
        <v>2</v>
      </c>
      <c r="C16" s="1">
        <v>2</v>
      </c>
      <c r="D16" s="1">
        <v>1.4</v>
      </c>
      <c r="E16" s="2">
        <v>1.196</v>
      </c>
      <c r="G16" s="1"/>
      <c r="H16" s="1"/>
    </row>
    <row r="17" spans="1:8" x14ac:dyDescent="0.25">
      <c r="A17" t="s">
        <v>16</v>
      </c>
      <c r="B17" s="1">
        <v>2</v>
      </c>
      <c r="C17" s="1">
        <v>1.5</v>
      </c>
      <c r="D17" s="1">
        <v>0.8</v>
      </c>
      <c r="E17" s="2">
        <v>1.68</v>
      </c>
      <c r="G17" s="1"/>
      <c r="H17" s="1"/>
    </row>
    <row r="18" spans="1:8" x14ac:dyDescent="0.25">
      <c r="A18" t="s">
        <v>17</v>
      </c>
      <c r="B18" s="1">
        <v>6</v>
      </c>
      <c r="C18" s="1">
        <v>4.5</v>
      </c>
      <c r="D18" s="1">
        <v>3.6</v>
      </c>
      <c r="E18" s="2">
        <v>4.68</v>
      </c>
      <c r="G18" s="1"/>
      <c r="H18" s="1"/>
    </row>
    <row r="19" spans="1:8" x14ac:dyDescent="0.25">
      <c r="A19" t="s">
        <v>18</v>
      </c>
      <c r="B19" s="1">
        <v>18</v>
      </c>
      <c r="C19" s="1">
        <v>16</v>
      </c>
      <c r="D19" s="1">
        <v>9.5</v>
      </c>
      <c r="E19" s="2">
        <v>18.932001</v>
      </c>
      <c r="G19" s="1"/>
      <c r="H19" s="1"/>
    </row>
    <row r="20" spans="1:8" x14ac:dyDescent="0.25">
      <c r="A20" t="s">
        <v>19</v>
      </c>
      <c r="B20" s="1">
        <v>20</v>
      </c>
      <c r="C20" s="1">
        <v>18</v>
      </c>
      <c r="D20" s="1">
        <v>12</v>
      </c>
      <c r="E20" s="2">
        <v>14.96</v>
      </c>
      <c r="G20" s="1"/>
      <c r="H20" s="1"/>
    </row>
    <row r="21" spans="1:8" x14ac:dyDescent="0.25">
      <c r="A21" t="s">
        <v>20</v>
      </c>
      <c r="B21" s="1">
        <v>6</v>
      </c>
      <c r="C21" s="1">
        <v>8.5</v>
      </c>
      <c r="D21" s="1">
        <v>9.1</v>
      </c>
      <c r="E21" s="2">
        <v>9.6300000000000008</v>
      </c>
      <c r="G21" s="1"/>
      <c r="H21" s="1"/>
    </row>
    <row r="22" spans="1:8" x14ac:dyDescent="0.25">
      <c r="A22" t="s">
        <v>21</v>
      </c>
      <c r="B22" s="1">
        <v>0</v>
      </c>
      <c r="C22" s="1">
        <v>0.1</v>
      </c>
      <c r="D22" s="1">
        <v>0.3</v>
      </c>
      <c r="E22" s="2">
        <v>0.36399999999999999</v>
      </c>
      <c r="G22" s="1"/>
      <c r="H22" s="1"/>
    </row>
    <row r="23" spans="1:8" x14ac:dyDescent="0.25">
      <c r="A23" t="s">
        <v>22</v>
      </c>
      <c r="B23" s="1">
        <v>26</v>
      </c>
      <c r="C23" s="1">
        <v>15.2</v>
      </c>
      <c r="D23" s="1">
        <v>21.4</v>
      </c>
      <c r="E23" s="2">
        <v>24.954000000000001</v>
      </c>
      <c r="G23" s="1"/>
      <c r="H23" s="1"/>
    </row>
    <row r="24" spans="1:8" x14ac:dyDescent="0.25">
      <c r="A24" t="s">
        <v>23</v>
      </c>
      <c r="B24" s="1">
        <v>22</v>
      </c>
      <c r="C24" s="1">
        <v>18.5</v>
      </c>
      <c r="D24" s="1">
        <v>13</v>
      </c>
      <c r="E24" s="2">
        <v>32.340000000000003</v>
      </c>
      <c r="G24" s="1"/>
      <c r="H24" s="1"/>
    </row>
    <row r="25" spans="1:8" x14ac:dyDescent="0.25">
      <c r="A25" t="s">
        <v>24</v>
      </c>
      <c r="B25" s="1">
        <v>9</v>
      </c>
      <c r="C25" s="1">
        <v>12.3</v>
      </c>
      <c r="D25" s="1">
        <v>9.3000000000000007</v>
      </c>
      <c r="E25" s="2">
        <v>7.44</v>
      </c>
      <c r="G25" s="1"/>
      <c r="H25" s="1"/>
    </row>
    <row r="26" spans="1:8" x14ac:dyDescent="0.25">
      <c r="A26" t="s">
        <v>25</v>
      </c>
      <c r="B26" s="1">
        <v>15</v>
      </c>
      <c r="C26" s="1">
        <v>11.5</v>
      </c>
      <c r="D26" s="1">
        <v>12</v>
      </c>
      <c r="E26" s="2">
        <v>12.58</v>
      </c>
      <c r="G26" s="1"/>
      <c r="H26" s="1"/>
    </row>
    <row r="27" spans="1:8" x14ac:dyDescent="0.25">
      <c r="A27" t="s">
        <v>26</v>
      </c>
      <c r="B27" s="1">
        <v>5</v>
      </c>
      <c r="C27" s="1">
        <v>2.8</v>
      </c>
      <c r="D27" s="1">
        <v>6.1</v>
      </c>
      <c r="E27" s="2">
        <v>3.1160000000000001</v>
      </c>
      <c r="G27" s="1"/>
      <c r="H27" s="1"/>
    </row>
    <row r="28" spans="1:8" x14ac:dyDescent="0.25">
      <c r="A28" t="s">
        <v>27</v>
      </c>
      <c r="B28" s="1">
        <v>45</v>
      </c>
      <c r="C28" s="1">
        <v>28.4</v>
      </c>
      <c r="D28" s="1">
        <v>40.4</v>
      </c>
      <c r="E28" s="2">
        <v>55.475997999999997</v>
      </c>
      <c r="G28" s="1"/>
      <c r="H28" s="1"/>
    </row>
    <row r="29" spans="1:8" x14ac:dyDescent="0.25">
      <c r="A29" t="s">
        <v>28</v>
      </c>
      <c r="B29" s="1">
        <v>4</v>
      </c>
      <c r="C29" s="1">
        <v>8.5</v>
      </c>
      <c r="D29" s="1">
        <v>3.4</v>
      </c>
      <c r="E29" s="2">
        <v>7.14</v>
      </c>
      <c r="G29" s="1"/>
      <c r="H29" s="1"/>
    </row>
    <row r="30" spans="1:8" x14ac:dyDescent="0.25">
      <c r="A30" t="s">
        <v>29</v>
      </c>
      <c r="B30" s="1">
        <v>0</v>
      </c>
      <c r="C30" s="1">
        <v>0.2</v>
      </c>
      <c r="D30" s="1">
        <v>0.2</v>
      </c>
      <c r="E30" s="2">
        <v>9.8000000000000004E-2</v>
      </c>
      <c r="G30" s="1"/>
      <c r="H30" s="1"/>
    </row>
    <row r="31" spans="1:8" x14ac:dyDescent="0.25">
      <c r="A31" t="s">
        <v>30</v>
      </c>
      <c r="B31" s="1">
        <v>12</v>
      </c>
      <c r="C31" s="1">
        <v>19.2</v>
      </c>
      <c r="D31" s="1">
        <v>0.8</v>
      </c>
      <c r="E31" s="2">
        <v>0.40799999999999997</v>
      </c>
      <c r="G31" s="1"/>
      <c r="H31" s="1"/>
    </row>
    <row r="32" spans="1:8" x14ac:dyDescent="0.25">
      <c r="A32" t="s">
        <v>31</v>
      </c>
      <c r="B32" s="1">
        <v>15</v>
      </c>
      <c r="C32" s="1">
        <v>13.8</v>
      </c>
      <c r="D32" s="1">
        <v>16</v>
      </c>
      <c r="E32" s="2">
        <v>20.285999</v>
      </c>
      <c r="G32" s="1"/>
      <c r="H32" s="1"/>
    </row>
    <row r="33" spans="1:8" x14ac:dyDescent="0.25">
      <c r="A33" t="s">
        <v>32</v>
      </c>
      <c r="B33" s="1">
        <v>31</v>
      </c>
      <c r="C33" s="1">
        <v>32.5</v>
      </c>
      <c r="D33" s="1">
        <v>21</v>
      </c>
      <c r="E33" s="2">
        <v>27.931999000000001</v>
      </c>
      <c r="G33" s="1"/>
      <c r="H33" s="1"/>
    </row>
    <row r="34" spans="1:8" x14ac:dyDescent="0.25">
      <c r="A34" t="s">
        <v>33</v>
      </c>
      <c r="B34" s="1">
        <v>2</v>
      </c>
      <c r="C34" s="1">
        <v>3.2</v>
      </c>
      <c r="D34" s="1">
        <v>1.5</v>
      </c>
      <c r="E34" s="2">
        <v>1.484</v>
      </c>
      <c r="G34" s="1"/>
      <c r="H34" s="1"/>
    </row>
    <row r="35" spans="1:8" x14ac:dyDescent="0.25">
      <c r="A35" t="s">
        <v>34</v>
      </c>
      <c r="B35" s="1">
        <v>8</v>
      </c>
      <c r="C35" s="1">
        <v>12.5</v>
      </c>
      <c r="D35" s="1">
        <v>6.5</v>
      </c>
      <c r="E35" s="2">
        <v>11.35</v>
      </c>
      <c r="G35" s="1"/>
      <c r="H35" s="1"/>
    </row>
    <row r="36" spans="1:8" x14ac:dyDescent="0.25">
      <c r="A36" t="s">
        <v>35</v>
      </c>
      <c r="B36" s="1">
        <v>9</v>
      </c>
      <c r="C36" s="1">
        <v>15.8</v>
      </c>
      <c r="D36" s="1">
        <v>8</v>
      </c>
      <c r="E36" s="2">
        <v>12.834001000000001</v>
      </c>
      <c r="G36" s="1"/>
      <c r="H36" s="1"/>
    </row>
    <row r="37" spans="1:8" x14ac:dyDescent="0.25">
      <c r="A37" t="s">
        <v>36</v>
      </c>
      <c r="B37" s="1">
        <v>25</v>
      </c>
      <c r="C37" s="1">
        <v>25</v>
      </c>
      <c r="D37" s="1">
        <v>25</v>
      </c>
      <c r="E37" s="2">
        <v>0.42899999999999999</v>
      </c>
      <c r="G37" s="1"/>
      <c r="H37" s="1"/>
    </row>
    <row r="38" spans="1:8" x14ac:dyDescent="0.25">
      <c r="A38" t="s">
        <v>37</v>
      </c>
      <c r="B38" s="1">
        <v>14</v>
      </c>
      <c r="C38" s="1">
        <v>16.8</v>
      </c>
      <c r="D38" s="1">
        <v>14.5</v>
      </c>
      <c r="E38" s="2">
        <v>14.940001000000001</v>
      </c>
      <c r="G38" s="1"/>
      <c r="H38" s="1"/>
    </row>
    <row r="39" spans="1:8" x14ac:dyDescent="0.25">
      <c r="A39" t="s">
        <v>38</v>
      </c>
      <c r="B39" s="1">
        <v>10</v>
      </c>
      <c r="C39" s="1">
        <v>13.2</v>
      </c>
      <c r="D39" s="1">
        <v>12</v>
      </c>
      <c r="E39" s="2">
        <v>7.2</v>
      </c>
      <c r="G39" s="1"/>
      <c r="H39" s="1"/>
    </row>
    <row r="40" spans="1:8" x14ac:dyDescent="0.25">
      <c r="A40" t="s">
        <v>39</v>
      </c>
      <c r="B40" s="1">
        <v>32</v>
      </c>
      <c r="C40" s="1">
        <v>42.5</v>
      </c>
      <c r="D40" s="1">
        <v>51.5</v>
      </c>
      <c r="E40" s="2">
        <v>22.568999999999999</v>
      </c>
      <c r="G40" s="1"/>
      <c r="H40" s="1"/>
    </row>
    <row r="41" spans="1:8" x14ac:dyDescent="0.25">
      <c r="A41" t="s">
        <v>40</v>
      </c>
      <c r="B41" s="1">
        <v>12</v>
      </c>
      <c r="C41" s="1">
        <v>18.5</v>
      </c>
      <c r="D41" s="1">
        <v>9.5</v>
      </c>
      <c r="E41" s="2">
        <v>27.013000000000002</v>
      </c>
      <c r="G41" s="1"/>
      <c r="H41" s="1"/>
    </row>
    <row r="42" spans="1:8" x14ac:dyDescent="0.25">
      <c r="A42" t="s">
        <v>41</v>
      </c>
      <c r="B42" s="1">
        <v>18</v>
      </c>
      <c r="C42" s="1">
        <v>5.2</v>
      </c>
      <c r="D42" s="1">
        <v>3</v>
      </c>
      <c r="E42" s="2">
        <v>3.0659999999999998</v>
      </c>
      <c r="G42" s="1"/>
      <c r="H42" s="1"/>
    </row>
    <row r="43" spans="1:8" x14ac:dyDescent="0.25">
      <c r="A43" t="s">
        <v>42</v>
      </c>
      <c r="B43" s="1">
        <v>25</v>
      </c>
      <c r="C43" s="1">
        <v>25</v>
      </c>
      <c r="D43" s="1">
        <v>25</v>
      </c>
      <c r="E43" s="2">
        <v>0.42599999999999999</v>
      </c>
      <c r="G43" s="1"/>
      <c r="H43" s="1"/>
    </row>
    <row r="44" spans="1:8" x14ac:dyDescent="0.25">
      <c r="A44" t="s">
        <v>43</v>
      </c>
      <c r="B44" s="1">
        <v>40</v>
      </c>
      <c r="C44" s="1">
        <v>48.5</v>
      </c>
      <c r="D44" s="1">
        <v>37.5</v>
      </c>
      <c r="E44" s="2">
        <v>30.505001</v>
      </c>
      <c r="G44" s="1"/>
      <c r="H44" s="1"/>
    </row>
    <row r="45" spans="1:8" x14ac:dyDescent="0.25">
      <c r="A45" t="s">
        <v>44</v>
      </c>
      <c r="B45" s="1">
        <v>12</v>
      </c>
      <c r="C45" s="1">
        <v>20.8</v>
      </c>
      <c r="D45" s="1">
        <v>9.5</v>
      </c>
      <c r="E45" s="2">
        <v>27.013000000000002</v>
      </c>
      <c r="G45" s="1"/>
      <c r="H45" s="1"/>
    </row>
    <row r="46" spans="1:8" x14ac:dyDescent="0.25">
      <c r="A46" t="s">
        <v>45</v>
      </c>
      <c r="B46" s="1">
        <v>8</v>
      </c>
      <c r="C46" s="1">
        <v>11.2</v>
      </c>
      <c r="D46" s="1">
        <v>12</v>
      </c>
      <c r="E46" s="2">
        <v>11.88</v>
      </c>
      <c r="G46" s="1"/>
      <c r="H46" s="1"/>
    </row>
    <row r="47" spans="1:8" x14ac:dyDescent="0.25">
      <c r="A47" t="s">
        <v>46</v>
      </c>
      <c r="B47" s="1">
        <v>18</v>
      </c>
      <c r="C47" s="1">
        <v>6.5</v>
      </c>
      <c r="D47" s="1">
        <v>3</v>
      </c>
      <c r="E47" s="2">
        <v>3.8639999999999999</v>
      </c>
      <c r="G47" s="1"/>
      <c r="H47" s="1"/>
    </row>
    <row r="48" spans="1:8" x14ac:dyDescent="0.25">
      <c r="A48" t="s">
        <v>47</v>
      </c>
      <c r="B48" s="1">
        <v>35</v>
      </c>
      <c r="C48" s="1">
        <v>32.799999999999997</v>
      </c>
      <c r="D48" s="1">
        <v>20.5</v>
      </c>
      <c r="E48" s="2">
        <v>42.756999999999998</v>
      </c>
      <c r="G48" s="1"/>
      <c r="H48" s="1"/>
    </row>
    <row r="49" spans="1:8" x14ac:dyDescent="0.25">
      <c r="A49" t="s">
        <v>48</v>
      </c>
      <c r="B49" s="1">
        <v>8</v>
      </c>
      <c r="C49" s="1">
        <v>19.5</v>
      </c>
      <c r="D49" s="1">
        <v>6</v>
      </c>
      <c r="E49" s="2">
        <v>11.804</v>
      </c>
      <c r="G49" s="1"/>
      <c r="H49" s="1"/>
    </row>
    <row r="50" spans="1:8" x14ac:dyDescent="0.25">
      <c r="A50" t="s">
        <v>49</v>
      </c>
      <c r="B50" s="1">
        <v>2</v>
      </c>
      <c r="C50" s="1">
        <v>8.8000000000000007</v>
      </c>
      <c r="D50" s="1">
        <v>3.5</v>
      </c>
      <c r="E50" s="2">
        <v>4.5359999999999996</v>
      </c>
      <c r="G50" s="1"/>
      <c r="H50" s="1"/>
    </row>
    <row r="51" spans="1:8" x14ac:dyDescent="0.25">
      <c r="A51" t="s">
        <v>50</v>
      </c>
      <c r="B51" s="1">
        <v>9</v>
      </c>
      <c r="C51" s="1">
        <v>9.5</v>
      </c>
      <c r="D51" s="1">
        <v>11.5</v>
      </c>
      <c r="E51" s="2">
        <v>12.780001</v>
      </c>
      <c r="G51" s="1"/>
      <c r="H51" s="1"/>
    </row>
    <row r="52" spans="1:8" x14ac:dyDescent="0.25">
      <c r="A52" t="s">
        <v>51</v>
      </c>
      <c r="B52" s="1">
        <v>6</v>
      </c>
      <c r="C52" s="1">
        <v>6.8</v>
      </c>
      <c r="D52" s="1">
        <v>6.5</v>
      </c>
      <c r="E52" s="2">
        <v>3.12</v>
      </c>
      <c r="G52" s="1"/>
      <c r="H52" s="1"/>
    </row>
    <row r="53" spans="1:8" x14ac:dyDescent="0.25">
      <c r="A53" t="s">
        <v>52</v>
      </c>
      <c r="B53" s="1">
        <v>30</v>
      </c>
      <c r="C53" s="1">
        <v>38.5</v>
      </c>
      <c r="D53" s="1">
        <v>24.5</v>
      </c>
      <c r="E53" s="2">
        <v>32.240001999999997</v>
      </c>
      <c r="G53" s="1"/>
      <c r="H53" s="1"/>
    </row>
    <row r="54" spans="1:8" x14ac:dyDescent="0.25">
      <c r="A54" t="s">
        <v>53</v>
      </c>
      <c r="B54" s="1">
        <v>1</v>
      </c>
      <c r="C54" s="1">
        <v>7.2</v>
      </c>
      <c r="D54" s="1">
        <v>3</v>
      </c>
      <c r="E54" s="2">
        <v>2.52</v>
      </c>
      <c r="G54" s="1"/>
      <c r="H54" s="1"/>
    </row>
    <row r="55" spans="1:8" x14ac:dyDescent="0.25">
      <c r="A55" t="s">
        <v>54</v>
      </c>
      <c r="B55" s="1">
        <v>25</v>
      </c>
      <c r="C55" s="1">
        <v>25</v>
      </c>
      <c r="D55" s="1">
        <v>25</v>
      </c>
      <c r="E55" s="2">
        <v>0.42899999999999999</v>
      </c>
      <c r="G55" s="1"/>
      <c r="H55" s="1"/>
    </row>
    <row r="56" spans="1:8" x14ac:dyDescent="0.25">
      <c r="A56" t="s">
        <v>55</v>
      </c>
      <c r="B56" s="1">
        <v>2</v>
      </c>
      <c r="C56" s="1">
        <v>1.5</v>
      </c>
      <c r="D56" s="1">
        <v>1.5</v>
      </c>
      <c r="E56" s="2">
        <v>0.79500000000000004</v>
      </c>
      <c r="G56" s="1"/>
      <c r="H56" s="1"/>
    </row>
    <row r="57" spans="1:8" x14ac:dyDescent="0.25">
      <c r="A57" t="s">
        <v>56</v>
      </c>
      <c r="B57" s="1">
        <v>9</v>
      </c>
      <c r="C57" s="1">
        <v>21.5</v>
      </c>
      <c r="D57" s="1">
        <v>6.5</v>
      </c>
      <c r="E57" s="2">
        <v>13.166</v>
      </c>
      <c r="G57" s="1"/>
      <c r="H57" s="1"/>
    </row>
    <row r="58" spans="1:8" x14ac:dyDescent="0.25">
      <c r="A58" t="s">
        <v>57</v>
      </c>
      <c r="B58" s="1">
        <v>4</v>
      </c>
      <c r="C58" s="1">
        <v>13.8</v>
      </c>
      <c r="D58" s="1">
        <v>12</v>
      </c>
      <c r="E58" s="2">
        <v>13.320001</v>
      </c>
      <c r="G58" s="1"/>
      <c r="H58" s="1"/>
    </row>
    <row r="59" spans="1:8" x14ac:dyDescent="0.25">
      <c r="A59" t="s">
        <v>58</v>
      </c>
      <c r="B59" s="1">
        <v>40</v>
      </c>
      <c r="C59" s="1">
        <v>52.5</v>
      </c>
      <c r="D59" s="1">
        <v>48</v>
      </c>
      <c r="E59" s="2">
        <v>30.23</v>
      </c>
      <c r="G59" s="1"/>
      <c r="H59" s="1"/>
    </row>
    <row r="60" spans="1:8" x14ac:dyDescent="0.25">
      <c r="A60" t="s">
        <v>59</v>
      </c>
      <c r="B60" s="1">
        <v>1</v>
      </c>
      <c r="C60" s="1">
        <v>2.1</v>
      </c>
      <c r="D60" s="1">
        <v>0.5</v>
      </c>
      <c r="E60" s="2">
        <v>0.18</v>
      </c>
      <c r="G60" s="1"/>
      <c r="H60" s="1"/>
    </row>
    <row r="61" spans="1:8" x14ac:dyDescent="0.25">
      <c r="A61" t="s">
        <v>60</v>
      </c>
      <c r="B61" s="1">
        <v>9</v>
      </c>
      <c r="C61" s="1">
        <v>16.2</v>
      </c>
      <c r="D61" s="1">
        <v>16</v>
      </c>
      <c r="E61" s="2">
        <v>22.860001</v>
      </c>
      <c r="G61" s="1"/>
      <c r="H61" s="1"/>
    </row>
    <row r="62" spans="1:8" x14ac:dyDescent="0.25">
      <c r="A62" t="s">
        <v>61</v>
      </c>
      <c r="B62" s="1">
        <v>6</v>
      </c>
      <c r="C62" s="1">
        <v>16.8</v>
      </c>
      <c r="D62" s="1">
        <v>6.5</v>
      </c>
      <c r="E62" s="2">
        <v>9.08</v>
      </c>
      <c r="G62" s="1"/>
      <c r="H62" s="1"/>
    </row>
    <row r="63" spans="1:8" x14ac:dyDescent="0.25">
      <c r="A63" t="s">
        <v>62</v>
      </c>
      <c r="B63" s="1">
        <v>2</v>
      </c>
      <c r="C63" s="1">
        <v>3.5</v>
      </c>
      <c r="D63" s="1">
        <v>3</v>
      </c>
      <c r="E63" s="2">
        <v>2.379</v>
      </c>
      <c r="G63" s="1"/>
      <c r="H63" s="1"/>
    </row>
    <row r="64" spans="1:8" x14ac:dyDescent="0.25">
      <c r="A64" t="s">
        <v>63</v>
      </c>
      <c r="B64" s="1">
        <v>20</v>
      </c>
      <c r="C64" s="1">
        <v>28.2</v>
      </c>
      <c r="D64" s="1">
        <v>26.5</v>
      </c>
      <c r="E64" s="2">
        <v>34.499001</v>
      </c>
      <c r="G64" s="1"/>
      <c r="H64" s="1"/>
    </row>
    <row r="65" spans="1:8" x14ac:dyDescent="0.25">
      <c r="A65" t="s">
        <v>64</v>
      </c>
      <c r="B65" s="1">
        <v>27</v>
      </c>
      <c r="C65" s="1">
        <v>27.5</v>
      </c>
      <c r="D65" s="1">
        <v>32</v>
      </c>
      <c r="E65" s="2">
        <v>24.959999</v>
      </c>
      <c r="G65" s="1"/>
      <c r="H65" s="1"/>
    </row>
    <row r="66" spans="1:8" x14ac:dyDescent="0.25">
      <c r="A66" t="s">
        <v>65</v>
      </c>
      <c r="B66" s="1">
        <v>25</v>
      </c>
      <c r="C66" s="1">
        <v>25</v>
      </c>
      <c r="D66" s="1">
        <v>25</v>
      </c>
      <c r="E66" s="2">
        <v>19.879999000000002</v>
      </c>
      <c r="G66" s="1"/>
      <c r="H66" s="1"/>
    </row>
    <row r="67" spans="1:8" x14ac:dyDescent="0.25">
      <c r="A67" t="s">
        <v>66</v>
      </c>
      <c r="B67" s="1">
        <v>1</v>
      </c>
      <c r="C67" s="1">
        <v>1.8</v>
      </c>
      <c r="D67" s="1">
        <v>0.5</v>
      </c>
      <c r="E67" s="2">
        <v>0.39600000000000002</v>
      </c>
      <c r="G67" s="1"/>
      <c r="H67" s="1"/>
    </row>
    <row r="68" spans="1:8" x14ac:dyDescent="0.25">
      <c r="A68" t="s">
        <v>67</v>
      </c>
      <c r="B68" s="1">
        <v>6</v>
      </c>
      <c r="C68" s="1">
        <v>12.8</v>
      </c>
      <c r="D68" s="1">
        <v>6</v>
      </c>
      <c r="E68" s="2">
        <v>9.9879999999999995</v>
      </c>
      <c r="G68" s="1"/>
      <c r="H68" s="1"/>
    </row>
    <row r="69" spans="1:8" x14ac:dyDescent="0.25">
      <c r="A69" t="s">
        <v>68</v>
      </c>
      <c r="B69" s="1">
        <v>32</v>
      </c>
      <c r="C69" s="1">
        <v>40.200000000000003</v>
      </c>
      <c r="D69" s="1">
        <v>31.5</v>
      </c>
      <c r="E69" s="2">
        <v>30.263999999999999</v>
      </c>
      <c r="G69" s="1"/>
      <c r="H69" s="1"/>
    </row>
    <row r="70" spans="1:8" x14ac:dyDescent="0.25">
      <c r="A70" t="s">
        <v>69</v>
      </c>
      <c r="B70" s="1">
        <v>15</v>
      </c>
      <c r="C70" s="1">
        <v>28.5</v>
      </c>
      <c r="D70" s="1">
        <v>12</v>
      </c>
      <c r="E70" s="2">
        <v>26.785999</v>
      </c>
      <c r="G70" s="1"/>
      <c r="H70" s="1"/>
    </row>
    <row r="71" spans="1:8" x14ac:dyDescent="0.25">
      <c r="A71" t="s">
        <v>70</v>
      </c>
      <c r="B71" s="1">
        <v>35</v>
      </c>
      <c r="C71" s="1">
        <v>36.799999999999997</v>
      </c>
      <c r="D71" s="1">
        <v>45</v>
      </c>
      <c r="E71" s="2">
        <v>21</v>
      </c>
      <c r="G71" s="1"/>
      <c r="H71" s="1"/>
    </row>
    <row r="72" spans="1:8" x14ac:dyDescent="0.25">
      <c r="A72" t="s">
        <v>71</v>
      </c>
      <c r="B72" s="1">
        <v>1</v>
      </c>
      <c r="C72" s="1">
        <v>1.2</v>
      </c>
      <c r="D72" s="1">
        <v>0.3</v>
      </c>
      <c r="E72" s="2">
        <v>0.36</v>
      </c>
      <c r="G72" s="1"/>
      <c r="H72" s="1"/>
    </row>
    <row r="73" spans="1:8" x14ac:dyDescent="0.25">
      <c r="A73" t="s">
        <v>72</v>
      </c>
      <c r="B73" s="1">
        <v>40</v>
      </c>
      <c r="C73" s="1">
        <v>48.2</v>
      </c>
      <c r="D73" s="1">
        <v>57.5</v>
      </c>
      <c r="E73" s="2">
        <v>48.146000000000001</v>
      </c>
      <c r="G73" s="1"/>
      <c r="H73" s="1"/>
    </row>
    <row r="74" spans="1:8" x14ac:dyDescent="0.25">
      <c r="A74" t="s">
        <v>73</v>
      </c>
      <c r="B74" s="1">
        <v>25</v>
      </c>
      <c r="C74" s="1">
        <v>25</v>
      </c>
      <c r="D74" s="1">
        <v>25</v>
      </c>
      <c r="E74" s="2">
        <v>19.879999000000002</v>
      </c>
      <c r="G74" s="1"/>
      <c r="H74" s="1"/>
    </row>
    <row r="75" spans="1:8" x14ac:dyDescent="0.25">
      <c r="A75" t="s">
        <v>74</v>
      </c>
      <c r="B75" s="1">
        <v>15</v>
      </c>
      <c r="C75" s="1">
        <v>22.5</v>
      </c>
      <c r="D75" s="1">
        <v>13</v>
      </c>
      <c r="E75" s="2">
        <v>26.332001000000002</v>
      </c>
      <c r="G75" s="1"/>
      <c r="H75" s="1"/>
    </row>
    <row r="76" spans="1:8" x14ac:dyDescent="0.25">
      <c r="A76" t="s">
        <v>75</v>
      </c>
      <c r="B76" s="1">
        <v>2</v>
      </c>
      <c r="C76" s="1">
        <v>2.5</v>
      </c>
      <c r="D76" s="1">
        <v>0.5</v>
      </c>
      <c r="E76" s="2">
        <v>0.35199999999999998</v>
      </c>
      <c r="G76" s="1"/>
      <c r="H76" s="1"/>
    </row>
    <row r="77" spans="1:8" x14ac:dyDescent="0.25">
      <c r="A77" t="s">
        <v>76</v>
      </c>
      <c r="B77" s="1">
        <v>42</v>
      </c>
      <c r="C77" s="1">
        <v>45</v>
      </c>
      <c r="D77" s="1">
        <v>38.5</v>
      </c>
      <c r="E77" s="2">
        <v>46.563999000000003</v>
      </c>
      <c r="G77" s="1"/>
      <c r="H77" s="1"/>
    </row>
    <row r="78" spans="1:8" x14ac:dyDescent="0.25">
      <c r="A78" t="s">
        <v>77</v>
      </c>
      <c r="B78" s="1">
        <v>5</v>
      </c>
      <c r="C78" s="1">
        <v>5.2</v>
      </c>
      <c r="D78" s="1">
        <v>5</v>
      </c>
      <c r="E78" s="2">
        <v>5</v>
      </c>
      <c r="G78" s="1"/>
      <c r="H78" s="1"/>
    </row>
    <row r="79" spans="1:8" x14ac:dyDescent="0.25">
      <c r="A79" t="s">
        <v>78</v>
      </c>
      <c r="B79" s="1">
        <v>18</v>
      </c>
      <c r="C79" s="1">
        <v>7.8</v>
      </c>
      <c r="D79" s="1">
        <v>19</v>
      </c>
      <c r="E79" s="2">
        <v>16.280000999999999</v>
      </c>
      <c r="G79" s="1"/>
      <c r="H79" s="1"/>
    </row>
    <row r="80" spans="1:8" x14ac:dyDescent="0.25">
      <c r="A80" t="s">
        <v>79</v>
      </c>
      <c r="B80" s="1">
        <v>22</v>
      </c>
      <c r="C80" s="1">
        <v>18.2</v>
      </c>
      <c r="D80" s="1">
        <v>35</v>
      </c>
      <c r="E80" s="2">
        <v>12.04</v>
      </c>
      <c r="G80" s="1"/>
      <c r="H80" s="1"/>
    </row>
    <row r="81" spans="1:8" x14ac:dyDescent="0.25">
      <c r="A81" t="s">
        <v>80</v>
      </c>
      <c r="B81" s="1">
        <v>25</v>
      </c>
      <c r="C81" s="1">
        <v>25</v>
      </c>
      <c r="D81" s="1">
        <v>25</v>
      </c>
      <c r="E81" s="2">
        <v>16.379999000000002</v>
      </c>
      <c r="G81" s="1"/>
      <c r="H81" s="1"/>
    </row>
    <row r="82" spans="1:8" x14ac:dyDescent="0.25">
      <c r="A82" t="s">
        <v>81</v>
      </c>
      <c r="B82" s="1">
        <v>50</v>
      </c>
      <c r="C82" s="1">
        <v>51.5</v>
      </c>
      <c r="D82" s="1">
        <v>84</v>
      </c>
      <c r="E82" s="2">
        <v>49.700001</v>
      </c>
      <c r="G82" s="1"/>
      <c r="H82" s="1"/>
    </row>
    <row r="83" spans="1:8" x14ac:dyDescent="0.25">
      <c r="A83" t="s">
        <v>82</v>
      </c>
      <c r="B83" s="1">
        <v>12</v>
      </c>
      <c r="C83" s="1">
        <v>8.5</v>
      </c>
      <c r="D83" s="1">
        <v>8</v>
      </c>
      <c r="E83" s="2">
        <v>7.76</v>
      </c>
      <c r="G83" s="1"/>
      <c r="H83" s="1"/>
    </row>
    <row r="84" spans="1:8" x14ac:dyDescent="0.25">
      <c r="A84" t="s">
        <v>83</v>
      </c>
      <c r="B84" s="1">
        <v>25</v>
      </c>
      <c r="C84" s="1">
        <v>25</v>
      </c>
      <c r="D84" s="1">
        <v>25</v>
      </c>
      <c r="E84" s="2">
        <v>16.239999999999998</v>
      </c>
      <c r="G84" s="1"/>
      <c r="H84" s="1"/>
    </row>
    <row r="85" spans="1:8" x14ac:dyDescent="0.25">
      <c r="A85" t="s">
        <v>84</v>
      </c>
      <c r="B85" s="1">
        <v>8</v>
      </c>
      <c r="C85" s="1">
        <v>17</v>
      </c>
      <c r="D85" s="1">
        <v>9.5</v>
      </c>
      <c r="E85" s="2">
        <v>6.38</v>
      </c>
      <c r="G85" s="1"/>
      <c r="H85" s="1"/>
    </row>
    <row r="86" spans="1:8" x14ac:dyDescent="0.25">
      <c r="A86" t="s">
        <v>85</v>
      </c>
      <c r="B86" s="1">
        <v>10</v>
      </c>
      <c r="C86" s="1">
        <v>12</v>
      </c>
      <c r="D86" s="1">
        <v>6.5</v>
      </c>
      <c r="E86" s="2">
        <v>7.8</v>
      </c>
      <c r="G86" s="1"/>
      <c r="H86" s="1"/>
    </row>
    <row r="87" spans="1:8" x14ac:dyDescent="0.25">
      <c r="A87" t="s">
        <v>86</v>
      </c>
      <c r="B87" s="1">
        <v>49</v>
      </c>
      <c r="C87" s="1">
        <v>68</v>
      </c>
      <c r="D87" s="1">
        <v>49</v>
      </c>
      <c r="E87" s="2">
        <v>38.18</v>
      </c>
      <c r="G87" s="1"/>
      <c r="H87" s="1"/>
    </row>
    <row r="88" spans="1:8" x14ac:dyDescent="0.25">
      <c r="A88" t="s">
        <v>87</v>
      </c>
      <c r="B88" s="1">
        <v>6</v>
      </c>
      <c r="C88" s="1">
        <v>7</v>
      </c>
      <c r="D88" s="1">
        <v>5</v>
      </c>
      <c r="E88" s="2">
        <v>4.95</v>
      </c>
      <c r="G88" s="1"/>
      <c r="H88" s="1"/>
    </row>
    <row r="89" spans="1:8" x14ac:dyDescent="0.25">
      <c r="A89" t="s">
        <v>88</v>
      </c>
      <c r="B89" s="1">
        <v>10</v>
      </c>
      <c r="C89" s="1">
        <v>8</v>
      </c>
      <c r="D89" s="1">
        <v>8</v>
      </c>
      <c r="E89" s="2">
        <v>4.72</v>
      </c>
      <c r="G89" s="1"/>
      <c r="H89" s="1"/>
    </row>
    <row r="90" spans="1:8" x14ac:dyDescent="0.25">
      <c r="A90" t="s">
        <v>89</v>
      </c>
      <c r="B90" s="1">
        <v>6</v>
      </c>
      <c r="C90" s="1">
        <v>4</v>
      </c>
      <c r="D90" s="1">
        <v>4.8</v>
      </c>
      <c r="E90" s="2">
        <v>5.7</v>
      </c>
      <c r="G90" s="1"/>
      <c r="H90" s="1"/>
    </row>
    <row r="91" spans="1:8" x14ac:dyDescent="0.25">
      <c r="A91" t="s">
        <v>90</v>
      </c>
      <c r="B91" s="1">
        <v>18</v>
      </c>
      <c r="C91" s="1">
        <v>42</v>
      </c>
      <c r="D91" s="1">
        <v>11.5</v>
      </c>
      <c r="E91" s="2">
        <v>15.370001</v>
      </c>
      <c r="G91" s="1"/>
      <c r="H91" s="1"/>
    </row>
    <row r="92" spans="1:8" x14ac:dyDescent="0.25">
      <c r="A92" t="s">
        <v>91</v>
      </c>
      <c r="B92" s="1">
        <v>25</v>
      </c>
      <c r="C92" s="1">
        <v>25</v>
      </c>
      <c r="D92" s="1">
        <v>25</v>
      </c>
      <c r="E92" s="2">
        <v>21.559999000000001</v>
      </c>
      <c r="G92" s="1"/>
      <c r="H92" s="1"/>
    </row>
    <row r="93" spans="1:8" x14ac:dyDescent="0.25">
      <c r="A93" t="s">
        <v>92</v>
      </c>
      <c r="B93" s="1">
        <v>4</v>
      </c>
      <c r="C93" s="1">
        <v>6</v>
      </c>
      <c r="D93" s="1">
        <v>6.8</v>
      </c>
      <c r="E93" s="2">
        <v>0.8</v>
      </c>
      <c r="G93" s="1"/>
      <c r="H93" s="1"/>
    </row>
    <row r="94" spans="1:8" x14ac:dyDescent="0.25">
      <c r="A94" t="s">
        <v>93</v>
      </c>
      <c r="B94" s="1">
        <v>15</v>
      </c>
      <c r="C94" s="1">
        <v>34</v>
      </c>
      <c r="D94" s="1">
        <v>13</v>
      </c>
      <c r="E94" s="2">
        <v>24.200009999999999</v>
      </c>
      <c r="G94" s="1"/>
      <c r="H94" s="1"/>
    </row>
    <row r="95" spans="1:8" x14ac:dyDescent="0.25">
      <c r="A95" t="s">
        <v>94</v>
      </c>
      <c r="B95" s="1">
        <v>5</v>
      </c>
      <c r="C95" s="1">
        <v>5</v>
      </c>
      <c r="D95" s="1">
        <v>3.5</v>
      </c>
      <c r="E95" s="2">
        <v>2.496</v>
      </c>
      <c r="G95" s="1"/>
      <c r="H95" s="1"/>
    </row>
    <row r="96" spans="1:8" x14ac:dyDescent="0.25">
      <c r="A96" t="s">
        <v>95</v>
      </c>
      <c r="B96" s="1">
        <v>49</v>
      </c>
      <c r="C96" s="1">
        <v>53</v>
      </c>
      <c r="D96" s="1">
        <v>48.3</v>
      </c>
      <c r="E96" s="2">
        <v>49.055996</v>
      </c>
      <c r="G96" s="1"/>
      <c r="H96" s="1"/>
    </row>
    <row r="97" spans="1:8" x14ac:dyDescent="0.25">
      <c r="A97" t="s">
        <v>96</v>
      </c>
      <c r="B97" s="1">
        <v>25</v>
      </c>
      <c r="C97" s="1">
        <v>25</v>
      </c>
      <c r="D97" s="1">
        <v>25</v>
      </c>
      <c r="E97" s="2">
        <v>19.879999000000002</v>
      </c>
      <c r="G97" s="1"/>
      <c r="H97" s="1"/>
    </row>
    <row r="98" spans="1:8" x14ac:dyDescent="0.25">
      <c r="A98" t="s">
        <v>97</v>
      </c>
      <c r="B98" s="1">
        <v>5</v>
      </c>
      <c r="C98" s="1">
        <v>5</v>
      </c>
      <c r="D98" s="1">
        <v>4.7</v>
      </c>
      <c r="E98" s="2">
        <v>2.0499999999999998</v>
      </c>
      <c r="G98" s="1"/>
      <c r="H98" s="1"/>
    </row>
    <row r="99" spans="1:8" x14ac:dyDescent="0.25">
      <c r="A99" t="s">
        <v>98</v>
      </c>
      <c r="B99" s="1">
        <v>15</v>
      </c>
      <c r="C99" s="1">
        <v>34</v>
      </c>
      <c r="D99" s="1">
        <v>13</v>
      </c>
      <c r="E99" s="2">
        <v>23.539999000000002</v>
      </c>
      <c r="G99" s="1"/>
      <c r="H99" s="1"/>
    </row>
    <row r="100" spans="1:8" x14ac:dyDescent="0.25">
      <c r="A100" t="s">
        <v>99</v>
      </c>
      <c r="B100" s="1">
        <v>6</v>
      </c>
      <c r="C100" s="1">
        <v>9</v>
      </c>
      <c r="D100" s="1">
        <v>6.7</v>
      </c>
      <c r="E100" s="2">
        <v>6.08</v>
      </c>
      <c r="G100" s="1"/>
      <c r="H100" s="1"/>
    </row>
    <row r="101" spans="1:8" x14ac:dyDescent="0.25">
      <c r="A101" t="s">
        <v>100</v>
      </c>
      <c r="B101" s="1">
        <v>6</v>
      </c>
      <c r="C101" s="1">
        <v>6</v>
      </c>
      <c r="D101" s="1">
        <v>6.3</v>
      </c>
      <c r="E101" s="2">
        <v>5.2210000000000001</v>
      </c>
      <c r="G101" s="1"/>
      <c r="H101" s="1"/>
    </row>
    <row r="102" spans="1:8" x14ac:dyDescent="0.25">
      <c r="A102" t="s">
        <v>101</v>
      </c>
      <c r="B102" s="1">
        <v>27</v>
      </c>
      <c r="C102" s="1">
        <v>48</v>
      </c>
      <c r="D102" s="1">
        <v>30.7</v>
      </c>
      <c r="E102" s="2">
        <v>36.890999899999997</v>
      </c>
      <c r="G102" s="1"/>
      <c r="H102" s="1"/>
    </row>
    <row r="103" spans="1:8" x14ac:dyDescent="0.25">
      <c r="A103" t="s">
        <v>102</v>
      </c>
      <c r="B103" s="1">
        <v>25</v>
      </c>
      <c r="C103" s="1">
        <v>25</v>
      </c>
      <c r="D103" s="1">
        <v>25</v>
      </c>
      <c r="E103" s="2">
        <v>20.02</v>
      </c>
      <c r="G103" s="1"/>
      <c r="H103" s="1"/>
    </row>
    <row r="104" spans="1:8" x14ac:dyDescent="0.25">
      <c r="A104" t="s">
        <v>103</v>
      </c>
      <c r="B104" s="1">
        <v>17</v>
      </c>
      <c r="C104" s="1">
        <v>12</v>
      </c>
      <c r="D104" s="1">
        <v>16.2</v>
      </c>
      <c r="E104" s="2">
        <v>30.190999999999999</v>
      </c>
      <c r="G104" s="1"/>
      <c r="H104" s="1"/>
    </row>
    <row r="105" spans="1:8" x14ac:dyDescent="0.25">
      <c r="A105" t="s">
        <v>104</v>
      </c>
      <c r="B105" s="1">
        <v>10</v>
      </c>
      <c r="C105" s="1">
        <v>10</v>
      </c>
      <c r="D105" s="1">
        <v>9.6</v>
      </c>
      <c r="E105" s="2">
        <v>7.4</v>
      </c>
      <c r="G105" s="1"/>
      <c r="H105" s="1"/>
    </row>
    <row r="106" spans="1:8" x14ac:dyDescent="0.25">
      <c r="A106" t="s">
        <v>105</v>
      </c>
      <c r="B106" s="1">
        <v>4</v>
      </c>
      <c r="C106" s="1">
        <v>4</v>
      </c>
      <c r="D106" s="1">
        <v>3.4</v>
      </c>
      <c r="E106" s="2">
        <v>2.85</v>
      </c>
      <c r="G106" s="1"/>
      <c r="H106" s="1"/>
    </row>
    <row r="107" spans="1:8" x14ac:dyDescent="0.25">
      <c r="A107" t="s">
        <v>106</v>
      </c>
      <c r="B107" s="1">
        <v>56</v>
      </c>
      <c r="C107" s="1">
        <v>40</v>
      </c>
      <c r="D107" s="1">
        <v>52.8</v>
      </c>
      <c r="E107" s="2">
        <v>60.460999000000001</v>
      </c>
      <c r="G107" s="1"/>
      <c r="H107" s="1"/>
    </row>
    <row r="108" spans="1:8" x14ac:dyDescent="0.25">
      <c r="A108" t="s">
        <v>107</v>
      </c>
      <c r="B108" s="1">
        <v>16</v>
      </c>
      <c r="C108" s="1">
        <v>14</v>
      </c>
      <c r="D108" s="1">
        <v>9.1999999999999993</v>
      </c>
      <c r="E108" s="2">
        <v>19.521999000000001</v>
      </c>
      <c r="G108" s="1"/>
      <c r="H108" s="1"/>
    </row>
    <row r="109" spans="1:8" x14ac:dyDescent="0.25">
      <c r="A109" t="s">
        <v>108</v>
      </c>
      <c r="B109" s="1">
        <v>5</v>
      </c>
      <c r="C109" s="1">
        <v>5</v>
      </c>
      <c r="D109" s="1">
        <v>5.2</v>
      </c>
      <c r="E109" s="2">
        <v>4.8499999999999996</v>
      </c>
      <c r="G109" s="1"/>
      <c r="H109" s="1"/>
    </row>
    <row r="110" spans="1:8" x14ac:dyDescent="0.25">
      <c r="A110" t="s">
        <v>109</v>
      </c>
      <c r="B110" s="1">
        <v>25</v>
      </c>
      <c r="C110" s="1">
        <v>25</v>
      </c>
      <c r="D110" s="1">
        <v>25</v>
      </c>
      <c r="E110" s="2">
        <v>22.4</v>
      </c>
      <c r="G110" s="1"/>
      <c r="H110" s="1"/>
    </row>
    <row r="111" spans="1:8" x14ac:dyDescent="0.25">
      <c r="A111" t="s">
        <v>110</v>
      </c>
      <c r="B111" s="1">
        <v>46</v>
      </c>
      <c r="C111" s="1">
        <v>34</v>
      </c>
      <c r="D111" s="1">
        <v>41.2</v>
      </c>
      <c r="E111" s="2">
        <v>46.771999899999997</v>
      </c>
      <c r="G111" s="1"/>
      <c r="H111" s="1"/>
    </row>
    <row r="112" spans="1:8" x14ac:dyDescent="0.25">
      <c r="A112" t="s">
        <v>111</v>
      </c>
      <c r="B112" s="1">
        <v>3</v>
      </c>
      <c r="C112" s="1">
        <v>2</v>
      </c>
      <c r="D112" s="1">
        <v>3.2</v>
      </c>
      <c r="E112" s="2">
        <v>1.127364</v>
      </c>
      <c r="G112" s="1"/>
      <c r="H112" s="1"/>
    </row>
    <row r="113" spans="1:8" x14ac:dyDescent="0.25">
      <c r="A113" t="s">
        <v>112</v>
      </c>
      <c r="B113" s="1">
        <v>1</v>
      </c>
      <c r="C113" s="1">
        <v>1</v>
      </c>
      <c r="D113" s="1">
        <v>0.4</v>
      </c>
      <c r="E113" s="2">
        <v>0.39600000000000002</v>
      </c>
      <c r="G113" s="1"/>
      <c r="H113" s="1"/>
    </row>
    <row r="114" spans="1:8" x14ac:dyDescent="0.25">
      <c r="A114" t="s">
        <v>113</v>
      </c>
      <c r="B114" s="1">
        <v>4</v>
      </c>
      <c r="C114" s="1">
        <v>2</v>
      </c>
      <c r="D114" s="1">
        <v>3.6</v>
      </c>
      <c r="E114" s="2">
        <v>1.5233639999999999</v>
      </c>
      <c r="G114" s="1"/>
      <c r="H114" s="1"/>
    </row>
    <row r="115" spans="1:8" x14ac:dyDescent="0.25">
      <c r="A115" t="s">
        <v>114</v>
      </c>
      <c r="B115" s="1">
        <v>4</v>
      </c>
      <c r="C115" s="1">
        <v>17</v>
      </c>
      <c r="D115" s="1">
        <v>6.2</v>
      </c>
      <c r="E115" s="2">
        <v>6.37</v>
      </c>
      <c r="G115" s="1"/>
      <c r="H115" s="1"/>
    </row>
    <row r="116" spans="1:8" x14ac:dyDescent="0.25">
      <c r="A116" t="s">
        <v>115</v>
      </c>
      <c r="B116" s="1">
        <v>3</v>
      </c>
      <c r="C116" s="1">
        <v>6</v>
      </c>
      <c r="D116" s="1">
        <v>3.1</v>
      </c>
      <c r="E116" s="2">
        <v>4.08</v>
      </c>
      <c r="G116" s="1"/>
      <c r="H116" s="1"/>
    </row>
    <row r="117" spans="1:8" x14ac:dyDescent="0.25">
      <c r="A117" t="s">
        <v>116</v>
      </c>
      <c r="B117" s="1">
        <v>0.5</v>
      </c>
      <c r="C117" s="1">
        <v>0</v>
      </c>
      <c r="D117" s="1">
        <v>0.1</v>
      </c>
      <c r="E117" s="2">
        <v>0.16800000000000001</v>
      </c>
      <c r="G117" s="1"/>
      <c r="H117" s="1"/>
    </row>
    <row r="118" spans="1:8" x14ac:dyDescent="0.25">
      <c r="A118" t="s">
        <v>117</v>
      </c>
      <c r="B118" s="1">
        <v>15</v>
      </c>
      <c r="C118" s="1">
        <v>8</v>
      </c>
      <c r="D118" s="1">
        <v>12.5</v>
      </c>
      <c r="E118" s="2">
        <v>19.800001000000002</v>
      </c>
      <c r="G118" s="1"/>
      <c r="H118" s="1"/>
    </row>
    <row r="119" spans="1:8" x14ac:dyDescent="0.25">
      <c r="A119" t="s">
        <v>118</v>
      </c>
      <c r="B119" s="1">
        <v>25</v>
      </c>
      <c r="C119" s="1">
        <v>16</v>
      </c>
      <c r="D119" s="1">
        <v>21.9</v>
      </c>
      <c r="E119" s="2">
        <v>30.417998999999998</v>
      </c>
      <c r="G119" s="1"/>
      <c r="H119" s="1"/>
    </row>
    <row r="120" spans="1:8" x14ac:dyDescent="0.25">
      <c r="A120" t="s">
        <v>119</v>
      </c>
      <c r="B120" s="1">
        <v>6</v>
      </c>
      <c r="C120" s="1">
        <v>8</v>
      </c>
      <c r="D120" s="1">
        <v>5.4</v>
      </c>
      <c r="E120" s="2">
        <v>15.12</v>
      </c>
      <c r="G120" s="1"/>
      <c r="H120" s="1"/>
    </row>
    <row r="121" spans="1:8" x14ac:dyDescent="0.25">
      <c r="A121" t="s">
        <v>120</v>
      </c>
      <c r="B121" s="1">
        <v>3</v>
      </c>
      <c r="C121" s="1">
        <v>2</v>
      </c>
      <c r="D121" s="1">
        <v>1.2</v>
      </c>
      <c r="E121" s="2">
        <v>1.44</v>
      </c>
      <c r="G121" s="1"/>
      <c r="H121" s="1"/>
    </row>
    <row r="122" spans="1:8" x14ac:dyDescent="0.25">
      <c r="A122" t="s">
        <v>121</v>
      </c>
      <c r="B122" s="1">
        <v>10</v>
      </c>
      <c r="C122" s="1">
        <v>12</v>
      </c>
      <c r="D122" s="1">
        <v>12</v>
      </c>
      <c r="E122" s="2">
        <v>15.36</v>
      </c>
      <c r="G122" s="1"/>
      <c r="H122" s="1"/>
    </row>
    <row r="123" spans="1:8" x14ac:dyDescent="0.25">
      <c r="A123" t="s">
        <v>122</v>
      </c>
      <c r="B123" s="1">
        <v>18</v>
      </c>
      <c r="C123" s="1">
        <v>20</v>
      </c>
      <c r="D123" s="1">
        <v>18.600000000000001</v>
      </c>
      <c r="E123" s="2">
        <v>31.919998</v>
      </c>
      <c r="G123" s="1"/>
      <c r="H123" s="1"/>
    </row>
    <row r="124" spans="1:8" x14ac:dyDescent="0.25">
      <c r="A124" t="s">
        <v>123</v>
      </c>
      <c r="B124" s="1">
        <v>0</v>
      </c>
      <c r="C124" s="1">
        <v>0</v>
      </c>
      <c r="D124" s="1">
        <v>0.1</v>
      </c>
      <c r="E124" s="2">
        <v>0.32200000000000001</v>
      </c>
      <c r="G124" s="1"/>
      <c r="H124" s="1"/>
    </row>
    <row r="125" spans="1:8" x14ac:dyDescent="0.25">
      <c r="A125" t="s">
        <v>124</v>
      </c>
      <c r="B125" s="1">
        <v>5</v>
      </c>
      <c r="C125" s="1">
        <v>5</v>
      </c>
      <c r="D125" s="1">
        <v>3.2</v>
      </c>
      <c r="E125" s="2">
        <v>4.7220000000000004</v>
      </c>
      <c r="G125" s="1"/>
      <c r="H125" s="1"/>
    </row>
    <row r="126" spans="1:8" x14ac:dyDescent="0.25">
      <c r="A126" t="s">
        <v>125</v>
      </c>
      <c r="B126" s="1">
        <v>32</v>
      </c>
      <c r="C126" s="1">
        <v>10</v>
      </c>
      <c r="D126" s="1">
        <v>15.7</v>
      </c>
      <c r="E126" s="2">
        <v>25.422001000000002</v>
      </c>
      <c r="G126" s="1"/>
      <c r="H126" s="1"/>
    </row>
    <row r="127" spans="1:8" x14ac:dyDescent="0.25">
      <c r="A127" t="s">
        <v>126</v>
      </c>
      <c r="B127" s="1">
        <v>2</v>
      </c>
      <c r="C127" s="1">
        <v>4</v>
      </c>
      <c r="D127" s="1">
        <v>2.1</v>
      </c>
      <c r="E127" s="2">
        <v>2.2400000000000002</v>
      </c>
      <c r="G127" s="1"/>
      <c r="H127" s="1"/>
    </row>
    <row r="128" spans="1:8" x14ac:dyDescent="0.25">
      <c r="A128" t="s">
        <v>127</v>
      </c>
      <c r="B128" s="1">
        <v>14</v>
      </c>
      <c r="C128" s="1">
        <v>15</v>
      </c>
      <c r="D128" s="1">
        <v>14.1</v>
      </c>
      <c r="E128" s="2">
        <v>9.1300000000000008</v>
      </c>
      <c r="G128" s="1"/>
      <c r="H128" s="1"/>
    </row>
    <row r="129" spans="1:8" x14ac:dyDescent="0.25">
      <c r="A129" t="s">
        <v>128</v>
      </c>
      <c r="B129" s="1">
        <v>39</v>
      </c>
      <c r="C129" s="1">
        <v>38</v>
      </c>
      <c r="D129" s="1">
        <v>41.2</v>
      </c>
      <c r="E129" s="2">
        <v>39.529998999999997</v>
      </c>
      <c r="G129" s="1"/>
      <c r="H129" s="1"/>
    </row>
    <row r="130" spans="1:8" x14ac:dyDescent="0.25">
      <c r="A130" t="s">
        <v>129</v>
      </c>
      <c r="B130" s="1">
        <v>9</v>
      </c>
      <c r="C130" s="1">
        <v>10</v>
      </c>
      <c r="D130" s="1">
        <v>6.8</v>
      </c>
      <c r="E130" s="2">
        <v>18.16</v>
      </c>
      <c r="G130" s="1"/>
      <c r="H130" s="1"/>
    </row>
    <row r="131" spans="1:8" x14ac:dyDescent="0.25">
      <c r="A131" t="s">
        <v>130</v>
      </c>
      <c r="B131" s="1">
        <v>18</v>
      </c>
      <c r="C131" s="1">
        <v>23.5</v>
      </c>
      <c r="D131" s="1">
        <v>20.8</v>
      </c>
      <c r="E131" s="2">
        <v>32.740001999999997</v>
      </c>
      <c r="G131" s="1"/>
      <c r="H131" s="1"/>
    </row>
    <row r="132" spans="1:8" x14ac:dyDescent="0.25">
      <c r="A132" t="s">
        <v>131</v>
      </c>
      <c r="B132" s="1">
        <v>21</v>
      </c>
      <c r="C132" s="1">
        <v>26.8</v>
      </c>
      <c r="D132" s="1">
        <v>22.9</v>
      </c>
      <c r="E132" s="2">
        <v>34.909999999999997</v>
      </c>
      <c r="G132" s="1"/>
      <c r="H132" s="1"/>
    </row>
    <row r="133" spans="1:8" x14ac:dyDescent="0.25">
      <c r="A133" t="s">
        <v>132</v>
      </c>
      <c r="B133" s="1">
        <v>9</v>
      </c>
      <c r="C133" s="1">
        <v>17.2</v>
      </c>
      <c r="D133" s="1">
        <v>14</v>
      </c>
      <c r="E133" s="2">
        <v>14.580000999999999</v>
      </c>
      <c r="G133" s="1"/>
      <c r="H133" s="1"/>
    </row>
    <row r="134" spans="1:8" x14ac:dyDescent="0.25">
      <c r="A134" t="s">
        <v>133</v>
      </c>
      <c r="B134" s="1">
        <v>20</v>
      </c>
      <c r="C134" s="1">
        <v>28.4</v>
      </c>
      <c r="D134" s="1">
        <v>28.1</v>
      </c>
      <c r="E134" s="2">
        <v>27.450001</v>
      </c>
      <c r="G134" s="1"/>
      <c r="H134" s="1"/>
    </row>
    <row r="135" spans="1:8" x14ac:dyDescent="0.25">
      <c r="A135" t="s">
        <v>134</v>
      </c>
      <c r="B135" s="1">
        <v>12</v>
      </c>
      <c r="C135" s="1">
        <v>12.3</v>
      </c>
      <c r="D135" s="1">
        <v>12</v>
      </c>
      <c r="E135" s="2">
        <v>3.1106370000000001</v>
      </c>
      <c r="G135" s="1"/>
      <c r="H135" s="1"/>
    </row>
    <row r="136" spans="1:8" x14ac:dyDescent="0.25">
      <c r="A136" t="s">
        <v>135</v>
      </c>
      <c r="B136" s="1">
        <v>8</v>
      </c>
      <c r="C136" s="1">
        <v>15.8</v>
      </c>
      <c r="D136" s="1">
        <v>12</v>
      </c>
      <c r="E136" s="2">
        <v>12.06</v>
      </c>
      <c r="G136" s="1"/>
      <c r="H136" s="1"/>
    </row>
    <row r="137" spans="1:8" x14ac:dyDescent="0.25">
      <c r="A137" t="s">
        <v>136</v>
      </c>
      <c r="B137" s="1">
        <v>17</v>
      </c>
      <c r="C137" s="1">
        <v>24.6</v>
      </c>
      <c r="D137" s="1">
        <v>18</v>
      </c>
      <c r="E137" s="2">
        <v>25.226002000000001</v>
      </c>
      <c r="G137" s="1"/>
      <c r="H137" s="1"/>
    </row>
    <row r="138" spans="1:8" x14ac:dyDescent="0.25">
      <c r="A138" t="s">
        <v>137</v>
      </c>
      <c r="B138" s="1">
        <v>35</v>
      </c>
      <c r="C138" s="1">
        <v>39.200000000000003</v>
      </c>
      <c r="D138" s="1">
        <v>45</v>
      </c>
      <c r="E138" s="2">
        <v>55.626002999999997</v>
      </c>
      <c r="G138" s="1"/>
      <c r="H138" s="1"/>
    </row>
    <row r="139" spans="1:8" x14ac:dyDescent="0.25">
      <c r="A139" t="s">
        <v>138</v>
      </c>
      <c r="B139" s="1">
        <v>6</v>
      </c>
      <c r="C139" s="1">
        <v>19.399999999999999</v>
      </c>
      <c r="D139" s="1">
        <v>6</v>
      </c>
      <c r="E139" s="2">
        <v>13.847</v>
      </c>
      <c r="G139" s="1"/>
      <c r="H139" s="1"/>
    </row>
    <row r="140" spans="1:8" x14ac:dyDescent="0.25">
      <c r="A140" t="s">
        <v>139</v>
      </c>
      <c r="B140" s="1">
        <v>28</v>
      </c>
      <c r="C140" s="1">
        <v>34.700000000000003</v>
      </c>
      <c r="D140" s="1">
        <v>33</v>
      </c>
      <c r="E140" s="2">
        <v>44.398997999999999</v>
      </c>
      <c r="G140" s="1"/>
      <c r="H140" s="1"/>
    </row>
    <row r="141" spans="1:8" x14ac:dyDescent="0.25">
      <c r="A141" t="s">
        <v>140</v>
      </c>
      <c r="B141" s="1">
        <v>55</v>
      </c>
      <c r="C141" s="1">
        <v>48.3</v>
      </c>
      <c r="D141" s="1">
        <v>45</v>
      </c>
      <c r="E141" s="2">
        <v>58.438999000000003</v>
      </c>
      <c r="G141" s="1"/>
      <c r="H141" s="1"/>
    </row>
    <row r="142" spans="1:8" x14ac:dyDescent="0.25">
      <c r="A142" t="s">
        <v>141</v>
      </c>
      <c r="B142" s="1">
        <v>60</v>
      </c>
      <c r="C142" s="1">
        <v>52.1</v>
      </c>
      <c r="D142" s="1">
        <v>54</v>
      </c>
      <c r="E142" s="2">
        <v>65.328995000000006</v>
      </c>
      <c r="G142" s="1"/>
      <c r="H142" s="1"/>
    </row>
    <row r="143" spans="1:8" x14ac:dyDescent="0.25">
      <c r="A143" t="s">
        <v>142</v>
      </c>
      <c r="B143" s="1">
        <v>6.5</v>
      </c>
      <c r="C143" s="1">
        <v>18.600000000000001</v>
      </c>
      <c r="D143" s="1">
        <v>6</v>
      </c>
      <c r="E143" s="2">
        <v>10.669</v>
      </c>
      <c r="G143" s="1"/>
      <c r="H143" s="1"/>
    </row>
    <row r="144" spans="1:8" x14ac:dyDescent="0.25">
      <c r="A144" t="s">
        <v>143</v>
      </c>
      <c r="B144" s="1">
        <v>15</v>
      </c>
      <c r="C144" s="1">
        <v>31.4</v>
      </c>
      <c r="D144" s="1">
        <v>15</v>
      </c>
      <c r="E144" s="2">
        <v>17.028998999999999</v>
      </c>
      <c r="G144" s="1"/>
      <c r="H144" s="1"/>
    </row>
    <row r="145" spans="1:8" x14ac:dyDescent="0.25">
      <c r="A145" t="s">
        <v>144</v>
      </c>
      <c r="B145" s="1">
        <v>18</v>
      </c>
      <c r="C145" s="1">
        <v>29.8</v>
      </c>
      <c r="D145" s="1">
        <v>16</v>
      </c>
      <c r="E145" s="2">
        <v>19.129000000000001</v>
      </c>
      <c r="G145" s="1"/>
      <c r="H145" s="1"/>
    </row>
    <row r="146" spans="1:8" x14ac:dyDescent="0.25">
      <c r="A146" t="s">
        <v>145</v>
      </c>
      <c r="B146" s="1">
        <v>12</v>
      </c>
      <c r="C146" s="1">
        <v>18.5</v>
      </c>
      <c r="D146" s="1">
        <v>6</v>
      </c>
      <c r="E146" s="2">
        <v>2.4510000000000001</v>
      </c>
      <c r="G146" s="1"/>
      <c r="H146" s="1"/>
    </row>
    <row r="147" spans="1:8" x14ac:dyDescent="0.25">
      <c r="A147" t="s">
        <v>146</v>
      </c>
      <c r="B147" s="1">
        <v>30</v>
      </c>
      <c r="C147" s="1">
        <v>28.3</v>
      </c>
      <c r="D147" s="1">
        <v>30</v>
      </c>
      <c r="E147" s="2">
        <v>33.279998999999997</v>
      </c>
      <c r="G147" s="1"/>
      <c r="H147" s="1"/>
    </row>
    <row r="148" spans="1:8" x14ac:dyDescent="0.25">
      <c r="A148" t="s">
        <v>147</v>
      </c>
      <c r="B148" s="1">
        <v>55</v>
      </c>
      <c r="C148" s="1">
        <v>36.200000000000003</v>
      </c>
      <c r="D148" s="1">
        <v>52</v>
      </c>
      <c r="E148" s="2">
        <v>50.211998000000001</v>
      </c>
      <c r="G148" s="1"/>
      <c r="H148" s="1"/>
    </row>
    <row r="149" spans="1:8" x14ac:dyDescent="0.25">
      <c r="A149" t="s">
        <v>148</v>
      </c>
      <c r="B149" s="1">
        <v>4</v>
      </c>
      <c r="C149" s="1">
        <v>8.1999999999999993</v>
      </c>
      <c r="D149" s="1">
        <v>3</v>
      </c>
      <c r="E149" s="2">
        <v>3.734912</v>
      </c>
      <c r="G149" s="1"/>
      <c r="H149" s="1"/>
    </row>
    <row r="150" spans="1:8" x14ac:dyDescent="0.25">
      <c r="A150" t="s">
        <v>149</v>
      </c>
      <c r="B150" s="1">
        <v>30</v>
      </c>
      <c r="C150" s="1">
        <v>32.700000000000003</v>
      </c>
      <c r="D150" s="1">
        <v>31</v>
      </c>
      <c r="E150" s="2">
        <v>44.984912999999999</v>
      </c>
      <c r="G150" s="1"/>
      <c r="H150" s="1"/>
    </row>
    <row r="151" spans="1:8" x14ac:dyDescent="0.25">
      <c r="A151" t="s">
        <v>150</v>
      </c>
      <c r="B151" s="1">
        <v>32</v>
      </c>
      <c r="C151" s="1">
        <v>6.4</v>
      </c>
      <c r="D151" s="1">
        <v>32</v>
      </c>
      <c r="E151" s="2">
        <v>45.956913</v>
      </c>
      <c r="G151" s="1"/>
      <c r="H151" s="1"/>
    </row>
    <row r="152" spans="1:8" x14ac:dyDescent="0.25">
      <c r="A152" t="s">
        <v>151</v>
      </c>
      <c r="B152" s="1">
        <v>34</v>
      </c>
      <c r="C152" s="1">
        <v>5.8</v>
      </c>
      <c r="D152" s="1">
        <v>34</v>
      </c>
      <c r="E152" s="2">
        <v>47.243912000000002</v>
      </c>
      <c r="G152" s="1"/>
      <c r="H152" s="1"/>
    </row>
    <row r="153" spans="1:8" x14ac:dyDescent="0.25">
      <c r="A153" t="s">
        <v>152</v>
      </c>
      <c r="B153" s="1">
        <v>40</v>
      </c>
      <c r="C153" s="1">
        <v>24.6</v>
      </c>
      <c r="D153" s="1">
        <v>38</v>
      </c>
      <c r="E153" s="2">
        <v>49.962539999999997</v>
      </c>
      <c r="G153" s="1"/>
      <c r="H153" s="1"/>
    </row>
    <row r="154" spans="1:8" x14ac:dyDescent="0.25">
      <c r="A154" t="s">
        <v>153</v>
      </c>
      <c r="B154" s="1">
        <v>6</v>
      </c>
      <c r="C154" s="1">
        <v>11.8</v>
      </c>
      <c r="D154" s="1">
        <v>9</v>
      </c>
      <c r="E154" s="2">
        <v>12.33001</v>
      </c>
      <c r="G154" s="1"/>
      <c r="H154" s="1"/>
    </row>
    <row r="155" spans="1:8" x14ac:dyDescent="0.25">
      <c r="A155" t="s">
        <v>154</v>
      </c>
      <c r="B155" s="1">
        <v>8</v>
      </c>
      <c r="C155" s="1">
        <v>13.2</v>
      </c>
      <c r="D155" s="1">
        <v>12</v>
      </c>
      <c r="E155" s="2">
        <v>16.807095</v>
      </c>
      <c r="G155" s="1"/>
      <c r="H155" s="1"/>
    </row>
    <row r="156" spans="1:8" x14ac:dyDescent="0.25">
      <c r="A156" t="s">
        <v>155</v>
      </c>
      <c r="B156" s="1">
        <v>12</v>
      </c>
      <c r="C156" s="1">
        <v>15.4</v>
      </c>
      <c r="D156" s="1">
        <v>18</v>
      </c>
      <c r="E156" s="2">
        <v>22.382401999999999</v>
      </c>
      <c r="G156" s="1"/>
      <c r="H156" s="1"/>
    </row>
    <row r="157" spans="1:8" x14ac:dyDescent="0.25">
      <c r="A157" t="s">
        <v>156</v>
      </c>
      <c r="B157" s="1">
        <v>14</v>
      </c>
      <c r="C157" s="1">
        <v>14.7</v>
      </c>
      <c r="D157" s="1">
        <v>20</v>
      </c>
      <c r="E157" s="2">
        <v>27.133635999999999</v>
      </c>
      <c r="G157" s="1"/>
      <c r="H157" s="1"/>
    </row>
    <row r="158" spans="1:8" x14ac:dyDescent="0.25">
      <c r="A158" t="s">
        <v>157</v>
      </c>
      <c r="B158" s="1">
        <v>5</v>
      </c>
      <c r="C158" s="1">
        <v>5.9</v>
      </c>
      <c r="D158" s="1">
        <v>3</v>
      </c>
      <c r="E158" s="2">
        <v>3.51</v>
      </c>
      <c r="G158" s="1"/>
      <c r="H158" s="1"/>
    </row>
    <row r="159" spans="1:8" x14ac:dyDescent="0.25">
      <c r="A159" t="s">
        <v>158</v>
      </c>
      <c r="B159" s="1">
        <v>6</v>
      </c>
      <c r="C159" s="1">
        <v>10.199999999999999</v>
      </c>
      <c r="D159" s="1">
        <v>6</v>
      </c>
      <c r="E159" s="2">
        <v>10.139999</v>
      </c>
      <c r="G159" s="1"/>
      <c r="H159" s="1"/>
    </row>
    <row r="160" spans="1:8" x14ac:dyDescent="0.25">
      <c r="A160" t="s">
        <v>159</v>
      </c>
      <c r="B160" s="1">
        <v>12</v>
      </c>
      <c r="C160" s="1">
        <v>13.6</v>
      </c>
      <c r="D160" s="1">
        <v>12</v>
      </c>
      <c r="E160" s="2">
        <v>15.915998999999999</v>
      </c>
      <c r="G160" s="1"/>
      <c r="H160" s="1"/>
    </row>
    <row r="161" spans="1:8" x14ac:dyDescent="0.25">
      <c r="A161" t="s">
        <v>160</v>
      </c>
      <c r="B161" s="1">
        <v>13</v>
      </c>
      <c r="C161" s="1">
        <v>28.4</v>
      </c>
      <c r="D161" s="1">
        <v>13</v>
      </c>
      <c r="E161" s="2">
        <v>16.460000999999998</v>
      </c>
      <c r="G161" s="1"/>
      <c r="H161" s="1"/>
    </row>
    <row r="162" spans="1:8" x14ac:dyDescent="0.25">
      <c r="A162" t="s">
        <v>161</v>
      </c>
      <c r="B162" s="1">
        <v>15</v>
      </c>
      <c r="C162" s="1">
        <v>31.2</v>
      </c>
      <c r="D162" s="1">
        <v>14.5</v>
      </c>
      <c r="E162" s="2">
        <v>17.637623000000001</v>
      </c>
      <c r="G162" s="1"/>
      <c r="H162" s="1"/>
    </row>
    <row r="163" spans="1:8" x14ac:dyDescent="0.25">
      <c r="A163" t="s">
        <v>162</v>
      </c>
      <c r="B163" s="1">
        <v>18</v>
      </c>
      <c r="C163" s="1">
        <v>32.799999999999997</v>
      </c>
      <c r="D163" s="1">
        <v>38</v>
      </c>
      <c r="E163" s="2">
        <v>23.811623000000001</v>
      </c>
      <c r="G163" s="1"/>
      <c r="H163" s="1"/>
    </row>
    <row r="164" spans="1:8" x14ac:dyDescent="0.25">
      <c r="A164" t="s">
        <v>163</v>
      </c>
      <c r="B164" s="1">
        <v>20</v>
      </c>
      <c r="C164" s="1">
        <v>34.1</v>
      </c>
      <c r="D164" s="1">
        <v>38</v>
      </c>
      <c r="E164" s="2">
        <v>24.075623</v>
      </c>
      <c r="G164" s="1"/>
      <c r="H164" s="1"/>
    </row>
    <row r="165" spans="1:8" x14ac:dyDescent="0.25">
      <c r="A165" t="s">
        <v>164</v>
      </c>
      <c r="B165" s="1">
        <v>20</v>
      </c>
      <c r="C165" s="1">
        <v>35.299999999999997</v>
      </c>
      <c r="D165" s="1">
        <v>38</v>
      </c>
      <c r="E165" s="2">
        <v>24.439624999999999</v>
      </c>
      <c r="G165" s="1"/>
      <c r="H165" s="1"/>
    </row>
    <row r="166" spans="1:8" x14ac:dyDescent="0.25">
      <c r="A166" t="s">
        <v>165</v>
      </c>
      <c r="B166" s="1">
        <v>1</v>
      </c>
      <c r="C166" s="1">
        <v>1.2</v>
      </c>
      <c r="D166" s="1">
        <v>0.5</v>
      </c>
      <c r="E166" s="2">
        <v>1.3483240000000001</v>
      </c>
      <c r="G166" s="1"/>
      <c r="H166" s="1"/>
    </row>
    <row r="167" spans="1:8" x14ac:dyDescent="0.25">
      <c r="A167" t="s">
        <v>166</v>
      </c>
      <c r="B167" s="1">
        <v>2</v>
      </c>
      <c r="C167" s="1">
        <v>7.8</v>
      </c>
      <c r="D167" s="1">
        <v>0.5</v>
      </c>
      <c r="E167" s="2">
        <v>3.7916129999999999</v>
      </c>
      <c r="G167" s="1"/>
      <c r="H167" s="1"/>
    </row>
    <row r="168" spans="1:8" x14ac:dyDescent="0.25">
      <c r="A168" t="s">
        <v>167</v>
      </c>
      <c r="B168" s="1">
        <v>4</v>
      </c>
      <c r="C168" s="1">
        <v>10.3</v>
      </c>
      <c r="D168" s="1">
        <v>3</v>
      </c>
      <c r="E168" s="2">
        <v>4.5616130000000004</v>
      </c>
      <c r="G168" s="1"/>
      <c r="H168" s="1"/>
    </row>
    <row r="169" spans="1:8" x14ac:dyDescent="0.25">
      <c r="A169" t="s">
        <v>168</v>
      </c>
      <c r="B169" s="1">
        <v>25</v>
      </c>
      <c r="C169" s="1">
        <v>24.7</v>
      </c>
      <c r="D169" s="1">
        <v>30</v>
      </c>
      <c r="E169" s="2">
        <v>14.921614</v>
      </c>
      <c r="G169" s="1"/>
      <c r="H169" s="1"/>
    </row>
    <row r="170" spans="1:8" x14ac:dyDescent="0.25">
      <c r="A170" t="s">
        <v>169</v>
      </c>
      <c r="B170" s="1">
        <v>6</v>
      </c>
      <c r="C170" s="1">
        <v>4.5999999999999996</v>
      </c>
      <c r="D170" s="1">
        <v>3</v>
      </c>
      <c r="E170" s="2">
        <v>2.7437670000000001</v>
      </c>
      <c r="G170" s="1"/>
      <c r="H170" s="1"/>
    </row>
    <row r="171" spans="1:8" x14ac:dyDescent="0.25">
      <c r="A171" t="s">
        <v>170</v>
      </c>
      <c r="B171" s="1">
        <v>8</v>
      </c>
      <c r="C171" s="1">
        <v>5.3</v>
      </c>
      <c r="D171" s="1">
        <v>6</v>
      </c>
      <c r="E171" s="2">
        <v>3.411251</v>
      </c>
      <c r="G171" s="1"/>
      <c r="H171" s="1"/>
    </row>
    <row r="172" spans="1:8" x14ac:dyDescent="0.25">
      <c r="A172" t="s">
        <v>171</v>
      </c>
      <c r="B172" s="1">
        <v>12</v>
      </c>
      <c r="C172" s="1">
        <v>8.1999999999999993</v>
      </c>
      <c r="D172" s="1">
        <v>12</v>
      </c>
      <c r="E172" s="2">
        <v>9.5712510000000002</v>
      </c>
      <c r="G172" s="1"/>
      <c r="H172" s="1"/>
    </row>
    <row r="173" spans="1:8" x14ac:dyDescent="0.25">
      <c r="A173" t="s">
        <v>172</v>
      </c>
      <c r="B173" s="1">
        <v>20</v>
      </c>
      <c r="C173" s="1">
        <v>14.1</v>
      </c>
      <c r="D173" s="1">
        <v>20</v>
      </c>
      <c r="E173" s="2">
        <v>16.85125</v>
      </c>
      <c r="G173" s="1"/>
      <c r="H173" s="1"/>
    </row>
    <row r="174" spans="1:8" x14ac:dyDescent="0.25">
      <c r="A174" t="s">
        <v>173</v>
      </c>
      <c r="B174" s="1">
        <v>35</v>
      </c>
      <c r="C174" s="1">
        <v>22.8</v>
      </c>
      <c r="D174" s="1">
        <v>35</v>
      </c>
      <c r="E174" s="2">
        <v>26.031245999999999</v>
      </c>
      <c r="G174" s="1"/>
      <c r="H174" s="1"/>
    </row>
    <row r="175" spans="1:8" x14ac:dyDescent="0.25">
      <c r="A175" t="s">
        <v>174</v>
      </c>
      <c r="B175" s="1">
        <v>36</v>
      </c>
      <c r="C175" s="1">
        <v>24.3</v>
      </c>
      <c r="D175" s="1">
        <v>38</v>
      </c>
      <c r="E175" s="2">
        <v>26.787248999999999</v>
      </c>
      <c r="G175" s="1"/>
      <c r="H175" s="1"/>
    </row>
    <row r="176" spans="1:8" x14ac:dyDescent="0.25">
      <c r="A176" t="s">
        <v>175</v>
      </c>
      <c r="B176" s="1">
        <v>32</v>
      </c>
      <c r="C176" s="1">
        <v>31.7</v>
      </c>
      <c r="D176" s="1">
        <v>39</v>
      </c>
      <c r="E176" s="2">
        <v>28.019247</v>
      </c>
      <c r="G176" s="1"/>
      <c r="H176" s="1"/>
    </row>
    <row r="177" spans="1:8" x14ac:dyDescent="0.25">
      <c r="A177" t="s">
        <v>176</v>
      </c>
      <c r="B177" s="1">
        <v>8</v>
      </c>
      <c r="C177" s="1">
        <v>9.4</v>
      </c>
      <c r="D177" s="1">
        <v>5</v>
      </c>
      <c r="E177" s="2">
        <v>7.7290960000000002</v>
      </c>
      <c r="G177" s="1"/>
      <c r="H177" s="1"/>
    </row>
    <row r="178" spans="1:8" x14ac:dyDescent="0.25">
      <c r="A178" t="s">
        <v>177</v>
      </c>
      <c r="B178" s="1">
        <v>35</v>
      </c>
      <c r="C178" s="1">
        <v>18.600000000000001</v>
      </c>
      <c r="D178" s="1">
        <v>12</v>
      </c>
      <c r="E178" s="2">
        <v>14.129096000000001</v>
      </c>
      <c r="G178" s="1"/>
      <c r="H178" s="1"/>
    </row>
    <row r="179" spans="1:8" x14ac:dyDescent="0.25">
      <c r="A179" t="s">
        <v>178</v>
      </c>
      <c r="B179" s="1">
        <v>52</v>
      </c>
      <c r="C179" s="1">
        <v>32.4</v>
      </c>
      <c r="D179" s="1">
        <v>32</v>
      </c>
      <c r="E179" s="2">
        <v>61.249091999999997</v>
      </c>
      <c r="G179" s="1"/>
      <c r="H179" s="1"/>
    </row>
    <row r="180" spans="1:8" x14ac:dyDescent="0.25">
      <c r="A180" t="s">
        <v>179</v>
      </c>
      <c r="B180" s="1">
        <v>55</v>
      </c>
      <c r="C180" s="1">
        <v>35.799999999999997</v>
      </c>
      <c r="D180" s="1">
        <v>35</v>
      </c>
      <c r="E180" s="2">
        <v>61.690983000000003</v>
      </c>
      <c r="G180" s="1"/>
      <c r="H180" s="1"/>
    </row>
    <row r="181" spans="1:8" x14ac:dyDescent="0.25">
      <c r="A181" t="s">
        <v>180</v>
      </c>
      <c r="B181" s="1">
        <v>60</v>
      </c>
      <c r="C181" s="1">
        <v>38.200000000000003</v>
      </c>
      <c r="D181" s="1">
        <v>38</v>
      </c>
      <c r="E181" s="2">
        <v>63.245891999999998</v>
      </c>
      <c r="G181" s="1"/>
      <c r="H181" s="1"/>
    </row>
    <row r="182" spans="1:8" x14ac:dyDescent="0.25">
      <c r="A182" t="s">
        <v>181</v>
      </c>
      <c r="B182" s="1">
        <v>3</v>
      </c>
      <c r="C182" s="1">
        <v>4.7</v>
      </c>
      <c r="D182" s="1">
        <v>3</v>
      </c>
      <c r="E182" s="2">
        <v>2.7</v>
      </c>
      <c r="G182" s="1"/>
      <c r="H182" s="1"/>
    </row>
    <row r="183" spans="1:8" x14ac:dyDescent="0.25">
      <c r="A183" t="s">
        <v>182</v>
      </c>
      <c r="B183" s="1">
        <v>8</v>
      </c>
      <c r="C183" s="1">
        <v>11.3</v>
      </c>
      <c r="D183" s="1">
        <v>6</v>
      </c>
      <c r="E183" s="2">
        <v>4.1086309999999999</v>
      </c>
      <c r="G183" s="1"/>
      <c r="H183" s="1"/>
    </row>
    <row r="184" spans="1:8" x14ac:dyDescent="0.25">
      <c r="A184" t="s">
        <v>183</v>
      </c>
      <c r="B184" s="1">
        <v>20</v>
      </c>
      <c r="C184" s="1">
        <v>19.8</v>
      </c>
      <c r="D184" s="1">
        <v>36</v>
      </c>
      <c r="E184" s="2">
        <v>30.348633</v>
      </c>
      <c r="G184" s="1"/>
      <c r="H184" s="1"/>
    </row>
    <row r="185" spans="1:8" x14ac:dyDescent="0.25">
      <c r="A185" t="s">
        <v>184</v>
      </c>
      <c r="B185" s="1">
        <v>22</v>
      </c>
      <c r="C185" s="1">
        <v>21.6</v>
      </c>
      <c r="D185" s="1">
        <v>38</v>
      </c>
      <c r="E185" s="2">
        <v>33.458454000000003</v>
      </c>
      <c r="G185" s="1"/>
      <c r="H185" s="1"/>
    </row>
    <row r="186" spans="1:8" x14ac:dyDescent="0.25">
      <c r="A186" t="s">
        <v>185</v>
      </c>
      <c r="B186" s="1">
        <v>30</v>
      </c>
      <c r="C186" s="1">
        <v>23.4</v>
      </c>
      <c r="D186" s="1">
        <v>38</v>
      </c>
      <c r="E186" s="2">
        <v>34.629458999999997</v>
      </c>
      <c r="G186" s="1"/>
      <c r="H186" s="1"/>
    </row>
    <row r="187" spans="1:8" x14ac:dyDescent="0.25">
      <c r="A187" t="s">
        <v>186</v>
      </c>
      <c r="B187" s="1">
        <v>6</v>
      </c>
      <c r="C187" s="1">
        <v>8.3000000000000007</v>
      </c>
      <c r="D187" s="1">
        <v>3</v>
      </c>
      <c r="E187" s="2">
        <v>3.698</v>
      </c>
      <c r="G187" s="1"/>
      <c r="H187" s="1"/>
    </row>
    <row r="188" spans="1:8" x14ac:dyDescent="0.25">
      <c r="A188" t="s">
        <v>187</v>
      </c>
      <c r="B188" s="1">
        <v>8</v>
      </c>
      <c r="C188" s="1">
        <v>9.6999999999999993</v>
      </c>
      <c r="D188" s="1">
        <v>5</v>
      </c>
      <c r="E188" s="2">
        <v>4.6079999999999997</v>
      </c>
      <c r="G188" s="1"/>
      <c r="H188" s="1"/>
    </row>
    <row r="189" spans="1:8" x14ac:dyDescent="0.25">
      <c r="A189" t="s">
        <v>188</v>
      </c>
      <c r="B189" s="1">
        <v>18</v>
      </c>
      <c r="C189" s="1">
        <v>12.8</v>
      </c>
      <c r="D189" s="1">
        <v>12</v>
      </c>
      <c r="E189" s="2">
        <v>16.068000999999999</v>
      </c>
      <c r="G189" s="1"/>
      <c r="H189" s="1"/>
    </row>
    <row r="190" spans="1:8" x14ac:dyDescent="0.25">
      <c r="A190" t="s">
        <v>189</v>
      </c>
      <c r="B190" s="1">
        <v>35</v>
      </c>
      <c r="C190" s="1">
        <v>14.2</v>
      </c>
      <c r="D190" s="1">
        <v>20</v>
      </c>
      <c r="E190" s="2">
        <v>17.945927000000001</v>
      </c>
      <c r="G190" s="1"/>
      <c r="H190" s="1"/>
    </row>
    <row r="191" spans="1:8" x14ac:dyDescent="0.25">
      <c r="A191" t="s">
        <v>190</v>
      </c>
      <c r="B191" s="1">
        <v>50</v>
      </c>
      <c r="C191" s="1">
        <v>23.6</v>
      </c>
      <c r="D191" s="1">
        <v>35</v>
      </c>
      <c r="E191" s="2">
        <v>32.350924999999997</v>
      </c>
      <c r="G191" s="1"/>
      <c r="H191" s="1"/>
    </row>
    <row r="192" spans="1:8" x14ac:dyDescent="0.25">
      <c r="A192" t="s">
        <v>191</v>
      </c>
      <c r="B192" s="1">
        <v>3</v>
      </c>
      <c r="C192" s="1">
        <v>3.2</v>
      </c>
      <c r="D192" s="1">
        <v>2</v>
      </c>
      <c r="E192" s="2">
        <v>2.2589350000000001</v>
      </c>
      <c r="G192" s="1"/>
      <c r="H192" s="1"/>
    </row>
    <row r="193" spans="1:8" x14ac:dyDescent="0.25">
      <c r="A193" t="s">
        <v>192</v>
      </c>
      <c r="B193" s="1">
        <v>18</v>
      </c>
      <c r="C193" s="1">
        <v>12.8</v>
      </c>
      <c r="D193" s="1">
        <v>17</v>
      </c>
      <c r="E193" s="2">
        <v>19.343934999999998</v>
      </c>
      <c r="G193" s="1"/>
      <c r="H193" s="1"/>
    </row>
    <row r="194" spans="1:8" x14ac:dyDescent="0.25">
      <c r="A194" t="s">
        <v>193</v>
      </c>
      <c r="B194" s="1">
        <v>16</v>
      </c>
      <c r="C194" s="1">
        <v>16.399999999999999</v>
      </c>
      <c r="D194" s="1">
        <v>32</v>
      </c>
      <c r="E194" s="2">
        <v>20.639935000000001</v>
      </c>
      <c r="G194" s="1"/>
      <c r="H194" s="1"/>
    </row>
    <row r="195" spans="1:8" x14ac:dyDescent="0.25">
      <c r="A195" t="s">
        <v>194</v>
      </c>
      <c r="B195" s="1">
        <v>50</v>
      </c>
      <c r="C195" s="1">
        <v>18.899999999999999</v>
      </c>
      <c r="D195" s="1">
        <v>48</v>
      </c>
      <c r="E195" s="2">
        <v>23.611560999999998</v>
      </c>
      <c r="G195" s="1"/>
      <c r="H195" s="1"/>
    </row>
    <row r="196" spans="1:8" x14ac:dyDescent="0.25">
      <c r="A196" t="s">
        <v>195</v>
      </c>
      <c r="B196" s="1">
        <v>58</v>
      </c>
      <c r="C196" s="1">
        <v>21.3</v>
      </c>
      <c r="D196" s="1">
        <v>52</v>
      </c>
      <c r="E196" s="2">
        <v>25.641566999999998</v>
      </c>
      <c r="G196" s="1"/>
      <c r="H196" s="1"/>
    </row>
    <row r="197" spans="1:8" x14ac:dyDescent="0.25">
      <c r="A197" t="s">
        <v>196</v>
      </c>
      <c r="B197" s="1">
        <v>5</v>
      </c>
      <c r="C197" s="1">
        <v>8.5</v>
      </c>
      <c r="D197" s="1">
        <v>4</v>
      </c>
      <c r="E197" s="2">
        <v>3.43</v>
      </c>
      <c r="G197" s="1"/>
      <c r="H197" s="1"/>
    </row>
    <row r="198" spans="1:8" x14ac:dyDescent="0.25">
      <c r="A198" t="s">
        <v>197</v>
      </c>
      <c r="B198" s="1">
        <v>7</v>
      </c>
      <c r="C198" s="1">
        <v>28.5</v>
      </c>
      <c r="D198" s="1">
        <v>6</v>
      </c>
      <c r="E198" s="2">
        <v>5.2859999999999996</v>
      </c>
      <c r="G198" s="1"/>
      <c r="H198" s="1"/>
    </row>
    <row r="199" spans="1:8" x14ac:dyDescent="0.25">
      <c r="A199" t="s">
        <v>198</v>
      </c>
      <c r="B199" s="1">
        <v>7</v>
      </c>
      <c r="C199" s="1">
        <v>29</v>
      </c>
      <c r="D199" s="1">
        <v>6</v>
      </c>
      <c r="E199" s="2">
        <v>5.524</v>
      </c>
      <c r="G199" s="1"/>
      <c r="H199" s="1"/>
    </row>
    <row r="200" spans="1:8" x14ac:dyDescent="0.25">
      <c r="A200" t="s">
        <v>199</v>
      </c>
      <c r="B200" s="1">
        <v>2</v>
      </c>
      <c r="C200" s="1">
        <v>6.5</v>
      </c>
      <c r="D200" s="1">
        <v>1.5</v>
      </c>
      <c r="E200" s="2">
        <v>3.71</v>
      </c>
      <c r="G200" s="1"/>
      <c r="H200" s="1"/>
    </row>
    <row r="201" spans="1:8" x14ac:dyDescent="0.25">
      <c r="A201" t="s">
        <v>200</v>
      </c>
      <c r="B201" s="1">
        <v>4</v>
      </c>
      <c r="C201" s="1">
        <v>7.5</v>
      </c>
      <c r="D201" s="1">
        <v>3</v>
      </c>
      <c r="E201" s="2">
        <v>7.4968469999999998</v>
      </c>
      <c r="G201" s="1"/>
      <c r="H201" s="1"/>
    </row>
    <row r="202" spans="1:8" x14ac:dyDescent="0.25">
      <c r="A202" t="s">
        <v>201</v>
      </c>
      <c r="B202" s="1">
        <v>18</v>
      </c>
      <c r="C202" s="1">
        <v>8.5</v>
      </c>
      <c r="D202" s="1">
        <v>8</v>
      </c>
      <c r="E202" s="2">
        <v>12.105439000000001</v>
      </c>
      <c r="G202" s="1"/>
      <c r="H202" s="1"/>
    </row>
    <row r="203" spans="1:8" x14ac:dyDescent="0.25">
      <c r="A203" t="s">
        <v>202</v>
      </c>
      <c r="B203" s="1">
        <v>35</v>
      </c>
      <c r="C203" s="1">
        <v>12</v>
      </c>
      <c r="D203" s="1">
        <v>32</v>
      </c>
      <c r="E203" s="2">
        <v>25.675439999999998</v>
      </c>
      <c r="G203" s="1"/>
      <c r="H203" s="1"/>
    </row>
    <row r="204" spans="1:8" x14ac:dyDescent="0.25">
      <c r="A204" t="s">
        <v>203</v>
      </c>
      <c r="B204" s="1">
        <v>6</v>
      </c>
      <c r="C204" s="1">
        <v>5.5</v>
      </c>
      <c r="D204" s="1">
        <v>0.5</v>
      </c>
      <c r="E204" s="2">
        <v>2.15</v>
      </c>
      <c r="G204" s="1"/>
      <c r="H204" s="1"/>
    </row>
    <row r="205" spans="1:8" x14ac:dyDescent="0.25">
      <c r="A205" t="s">
        <v>204</v>
      </c>
      <c r="B205" s="1">
        <v>10</v>
      </c>
      <c r="C205" s="1">
        <v>7</v>
      </c>
      <c r="D205" s="1">
        <v>3</v>
      </c>
      <c r="E205" s="2">
        <v>3.4384160000000001</v>
      </c>
      <c r="G205" s="1"/>
      <c r="H205" s="1"/>
    </row>
    <row r="206" spans="1:8" x14ac:dyDescent="0.25">
      <c r="A206" t="s">
        <v>205</v>
      </c>
      <c r="B206" s="1">
        <v>14</v>
      </c>
      <c r="C206" s="1">
        <v>12.5</v>
      </c>
      <c r="D206" s="1">
        <v>6.5</v>
      </c>
      <c r="E206" s="2">
        <v>7.9384160000000001</v>
      </c>
      <c r="G206" s="1"/>
      <c r="H206" s="1"/>
    </row>
    <row r="207" spans="1:8" x14ac:dyDescent="0.25">
      <c r="A207" t="s">
        <v>206</v>
      </c>
      <c r="B207" s="1">
        <v>28</v>
      </c>
      <c r="C207" s="1">
        <v>13</v>
      </c>
      <c r="D207" s="1">
        <v>21.5</v>
      </c>
      <c r="E207" s="2">
        <v>23.013418000000001</v>
      </c>
      <c r="G207" s="1"/>
      <c r="H207" s="1"/>
    </row>
    <row r="208" spans="1:8" x14ac:dyDescent="0.25">
      <c r="A208" t="s">
        <v>207</v>
      </c>
      <c r="B208" s="1">
        <v>32</v>
      </c>
      <c r="C208" s="1">
        <v>14.5</v>
      </c>
      <c r="D208" s="1">
        <v>24.5</v>
      </c>
      <c r="E208" s="2">
        <v>25.268995</v>
      </c>
      <c r="G208" s="1"/>
      <c r="H208" s="1"/>
    </row>
    <row r="209" spans="1:8" x14ac:dyDescent="0.25">
      <c r="A209" t="s">
        <v>208</v>
      </c>
      <c r="B209" s="1">
        <v>5</v>
      </c>
      <c r="C209" s="1">
        <v>2</v>
      </c>
      <c r="D209" s="1">
        <v>0.5</v>
      </c>
      <c r="E209" s="2">
        <v>0.96631199999999995</v>
      </c>
      <c r="G209" s="1"/>
      <c r="H209" s="1"/>
    </row>
    <row r="210" spans="1:8" x14ac:dyDescent="0.25">
      <c r="A210" t="s">
        <v>209</v>
      </c>
      <c r="B210" s="1">
        <v>8</v>
      </c>
      <c r="C210" s="1">
        <v>4.5</v>
      </c>
      <c r="D210" s="1">
        <v>3</v>
      </c>
      <c r="E210" s="2">
        <v>3.2468439999999998</v>
      </c>
      <c r="G210" s="1"/>
      <c r="H210" s="1"/>
    </row>
    <row r="211" spans="1:8" x14ac:dyDescent="0.25">
      <c r="A211" t="s">
        <v>210</v>
      </c>
      <c r="B211" s="1">
        <v>10</v>
      </c>
      <c r="C211" s="1">
        <v>5</v>
      </c>
      <c r="D211" s="1">
        <v>3</v>
      </c>
      <c r="E211" s="2">
        <v>4.8157500000000004</v>
      </c>
      <c r="G211" s="1"/>
      <c r="H211" s="1"/>
    </row>
    <row r="212" spans="1:8" x14ac:dyDescent="0.25">
      <c r="A212" t="s">
        <v>211</v>
      </c>
      <c r="B212" s="1">
        <v>12</v>
      </c>
      <c r="C212" s="1">
        <v>3.5</v>
      </c>
      <c r="D212" s="1">
        <v>6</v>
      </c>
      <c r="E212" s="2">
        <v>6.0379069999999997</v>
      </c>
      <c r="G212" s="1"/>
      <c r="H212" s="1"/>
    </row>
    <row r="213" spans="1:8" x14ac:dyDescent="0.25">
      <c r="A213" t="s">
        <v>212</v>
      </c>
      <c r="B213" s="1">
        <v>25</v>
      </c>
      <c r="C213" s="1">
        <v>18.5</v>
      </c>
      <c r="D213" s="1">
        <v>35</v>
      </c>
      <c r="E213" s="2">
        <v>12.882619</v>
      </c>
      <c r="G213" s="1"/>
      <c r="H213" s="1"/>
    </row>
    <row r="214" spans="1:8" x14ac:dyDescent="0.25">
      <c r="A214" t="s">
        <v>213</v>
      </c>
      <c r="B214" s="1">
        <v>30</v>
      </c>
      <c r="C214" s="1">
        <v>0.5</v>
      </c>
      <c r="D214" s="1">
        <v>22</v>
      </c>
      <c r="E214" s="2">
        <v>37.185001</v>
      </c>
      <c r="G214" s="1"/>
      <c r="H214" s="1"/>
    </row>
    <row r="215" spans="1:8" x14ac:dyDescent="0.25">
      <c r="A215" t="s">
        <v>214</v>
      </c>
      <c r="B215" s="1">
        <v>32</v>
      </c>
      <c r="C215" s="1">
        <v>2</v>
      </c>
      <c r="D215" s="1">
        <v>24</v>
      </c>
      <c r="E215" s="2">
        <v>38.594208000000002</v>
      </c>
      <c r="G215" s="1"/>
      <c r="H215" s="1"/>
    </row>
    <row r="216" spans="1:8" x14ac:dyDescent="0.25">
      <c r="A216" t="s">
        <v>215</v>
      </c>
      <c r="B216" s="1">
        <v>36</v>
      </c>
      <c r="C216" s="1">
        <v>6.5</v>
      </c>
      <c r="D216" s="1">
        <v>28</v>
      </c>
      <c r="E216" s="2">
        <v>43.354205999999998</v>
      </c>
      <c r="G216" s="1"/>
      <c r="H216" s="1"/>
    </row>
    <row r="217" spans="1:8" x14ac:dyDescent="0.25">
      <c r="A217" t="s">
        <v>216</v>
      </c>
      <c r="B217" s="1">
        <v>42</v>
      </c>
      <c r="C217" s="1">
        <v>12</v>
      </c>
      <c r="D217" s="1">
        <v>32</v>
      </c>
      <c r="E217" s="2">
        <v>49.707146000000002</v>
      </c>
      <c r="G217" s="1"/>
      <c r="H217" s="1"/>
    </row>
    <row r="218" spans="1:8" x14ac:dyDescent="0.25">
      <c r="A218" t="s">
        <v>217</v>
      </c>
      <c r="B218" s="1">
        <v>4</v>
      </c>
      <c r="C218" s="1">
        <v>3</v>
      </c>
      <c r="D218" s="1">
        <v>3</v>
      </c>
      <c r="E218" s="2">
        <v>7.079548</v>
      </c>
      <c r="G218" s="1"/>
      <c r="H218" s="1"/>
    </row>
    <row r="219" spans="1:8" x14ac:dyDescent="0.25">
      <c r="A219" t="s">
        <v>218</v>
      </c>
      <c r="B219" s="1">
        <v>8</v>
      </c>
      <c r="C219" s="1">
        <v>4.5</v>
      </c>
      <c r="D219" s="1">
        <v>6</v>
      </c>
      <c r="E219" s="2">
        <v>10.449209</v>
      </c>
      <c r="G219" s="1"/>
      <c r="H219" s="1"/>
    </row>
    <row r="220" spans="1:8" x14ac:dyDescent="0.25">
      <c r="A220" t="s">
        <v>219</v>
      </c>
      <c r="B220" s="1">
        <v>10</v>
      </c>
      <c r="C220" s="1">
        <v>22.5</v>
      </c>
      <c r="D220" s="1">
        <v>8</v>
      </c>
      <c r="E220" s="2">
        <v>13.121207999999999</v>
      </c>
      <c r="G220" s="1"/>
      <c r="H220" s="1"/>
    </row>
    <row r="221" spans="1:8" x14ac:dyDescent="0.25">
      <c r="A221" t="s">
        <v>220</v>
      </c>
      <c r="B221" s="1">
        <v>10</v>
      </c>
      <c r="C221" s="1">
        <v>23</v>
      </c>
      <c r="D221" s="1">
        <v>9</v>
      </c>
      <c r="E221" s="2">
        <v>13.555210000000001</v>
      </c>
      <c r="G221" s="1"/>
      <c r="H221" s="1"/>
    </row>
    <row r="222" spans="1:8" x14ac:dyDescent="0.25">
      <c r="A222" t="s">
        <v>221</v>
      </c>
      <c r="B222" s="1">
        <v>7</v>
      </c>
      <c r="C222" s="1">
        <v>11</v>
      </c>
      <c r="D222" s="1">
        <v>3</v>
      </c>
      <c r="E222" s="2">
        <v>3.2250000000000001</v>
      </c>
      <c r="G222" s="1"/>
      <c r="H222" s="1"/>
    </row>
    <row r="223" spans="1:8" x14ac:dyDescent="0.25">
      <c r="A223" t="s">
        <v>222</v>
      </c>
      <c r="B223" s="1">
        <v>12</v>
      </c>
      <c r="C223" s="1">
        <v>13.5</v>
      </c>
      <c r="D223" s="1">
        <v>12</v>
      </c>
      <c r="E223" s="2">
        <v>7.2149999999999999</v>
      </c>
      <c r="G223" s="1"/>
      <c r="H223" s="1"/>
    </row>
    <row r="224" spans="1:8" x14ac:dyDescent="0.25">
      <c r="A224" t="s">
        <v>223</v>
      </c>
      <c r="B224" s="1">
        <v>18</v>
      </c>
      <c r="C224" s="1">
        <v>14</v>
      </c>
      <c r="D224" s="1">
        <v>12</v>
      </c>
      <c r="E224" s="2">
        <v>11.854835</v>
      </c>
      <c r="G224" s="1"/>
      <c r="H224" s="1"/>
    </row>
    <row r="225" spans="1:8" x14ac:dyDescent="0.25">
      <c r="A225" t="s">
        <v>224</v>
      </c>
      <c r="B225" s="1">
        <v>7</v>
      </c>
      <c r="C225" s="1">
        <v>4</v>
      </c>
      <c r="D225" s="1">
        <v>3</v>
      </c>
      <c r="E225" s="2">
        <v>2.7528160000000002</v>
      </c>
      <c r="G225" s="1"/>
      <c r="H225" s="1"/>
    </row>
    <row r="226" spans="1:8" x14ac:dyDescent="0.25">
      <c r="A226" t="s">
        <v>225</v>
      </c>
      <c r="B226" s="1">
        <v>15</v>
      </c>
      <c r="C226" s="1">
        <v>6.5</v>
      </c>
      <c r="D226" s="1">
        <v>18</v>
      </c>
      <c r="E226" s="2">
        <v>18.392817000000001</v>
      </c>
      <c r="G226" s="1"/>
      <c r="H226" s="1"/>
    </row>
    <row r="227" spans="1:8" x14ac:dyDescent="0.25">
      <c r="A227" t="s">
        <v>226</v>
      </c>
      <c r="B227" s="1">
        <v>18</v>
      </c>
      <c r="C227" s="1">
        <v>7</v>
      </c>
      <c r="D227" s="1">
        <v>21</v>
      </c>
      <c r="E227" s="2">
        <v>28.21829</v>
      </c>
      <c r="G227" s="1"/>
      <c r="H227" s="1"/>
    </row>
    <row r="228" spans="1:8" x14ac:dyDescent="0.25">
      <c r="A228" t="s">
        <v>227</v>
      </c>
      <c r="B228" s="1">
        <v>6</v>
      </c>
      <c r="C228" s="1">
        <v>2.5</v>
      </c>
      <c r="D228" s="1">
        <v>5</v>
      </c>
      <c r="E228" s="2">
        <v>1.529342</v>
      </c>
      <c r="G228" s="1"/>
      <c r="H228" s="1"/>
    </row>
    <row r="229" spans="1:8" x14ac:dyDescent="0.25">
      <c r="A229" t="s">
        <v>228</v>
      </c>
      <c r="B229" s="1">
        <v>12</v>
      </c>
      <c r="C229" s="1">
        <v>3</v>
      </c>
      <c r="D229" s="1">
        <v>12</v>
      </c>
      <c r="E229" s="2">
        <v>5.8827670000000003</v>
      </c>
      <c r="G229" s="1"/>
      <c r="H229" s="1"/>
    </row>
    <row r="230" spans="1:8" x14ac:dyDescent="0.25">
      <c r="A230" t="s">
        <v>229</v>
      </c>
      <c r="B230" s="1">
        <v>15</v>
      </c>
      <c r="C230" s="1">
        <v>3.5</v>
      </c>
      <c r="D230" s="1">
        <v>16</v>
      </c>
      <c r="E230" s="2">
        <v>10.282766000000001</v>
      </c>
      <c r="G230" s="1"/>
      <c r="H230" s="1"/>
    </row>
    <row r="231" spans="1:8" x14ac:dyDescent="0.25">
      <c r="A231" t="s">
        <v>230</v>
      </c>
      <c r="B231" s="1">
        <v>18</v>
      </c>
      <c r="C231" s="1">
        <v>5</v>
      </c>
      <c r="D231" s="1">
        <v>19</v>
      </c>
      <c r="E231" s="2">
        <v>11.059766</v>
      </c>
      <c r="G231" s="1"/>
      <c r="H231" s="1"/>
    </row>
    <row r="232" spans="1:8" x14ac:dyDescent="0.25">
      <c r="A232" t="s">
        <v>231</v>
      </c>
      <c r="B232" s="1">
        <v>28</v>
      </c>
      <c r="C232" s="1">
        <v>18</v>
      </c>
      <c r="D232" s="1">
        <v>35</v>
      </c>
      <c r="E232" s="2">
        <v>25.76</v>
      </c>
      <c r="G232" s="1"/>
      <c r="H232" s="1"/>
    </row>
    <row r="233" spans="1:8" x14ac:dyDescent="0.25">
      <c r="A233" t="s">
        <v>232</v>
      </c>
      <c r="B233" s="1">
        <v>25</v>
      </c>
      <c r="C233" s="1">
        <v>19.5</v>
      </c>
      <c r="D233" s="1">
        <v>38</v>
      </c>
      <c r="E233" s="2">
        <v>31.344984</v>
      </c>
      <c r="G233" s="1"/>
      <c r="H233" s="1"/>
    </row>
    <row r="234" spans="1:8" x14ac:dyDescent="0.25">
      <c r="A234" t="s">
        <v>233</v>
      </c>
      <c r="B234" s="1">
        <v>27</v>
      </c>
      <c r="C234" s="1">
        <v>22</v>
      </c>
      <c r="D234" s="1">
        <v>46</v>
      </c>
      <c r="E234" s="2">
        <v>40.144989000000002</v>
      </c>
      <c r="G234" s="1"/>
      <c r="H234" s="1"/>
    </row>
    <row r="235" spans="1:8" x14ac:dyDescent="0.25">
      <c r="A235" t="s">
        <v>234</v>
      </c>
      <c r="B235" s="1">
        <v>20</v>
      </c>
      <c r="C235" s="1">
        <v>16</v>
      </c>
      <c r="D235" s="1">
        <v>32</v>
      </c>
      <c r="E235" s="2">
        <v>13.358226</v>
      </c>
      <c r="G235" s="1"/>
      <c r="H235" s="1"/>
    </row>
    <row r="236" spans="1:8" x14ac:dyDescent="0.25">
      <c r="A236" t="s">
        <v>235</v>
      </c>
      <c r="B236" s="1">
        <v>28</v>
      </c>
      <c r="C236" s="1">
        <v>24.5</v>
      </c>
      <c r="D236" s="1">
        <v>42</v>
      </c>
      <c r="E236" s="2">
        <v>15.250226</v>
      </c>
      <c r="G236" s="1"/>
      <c r="H236" s="1"/>
    </row>
    <row r="237" spans="1:8" x14ac:dyDescent="0.25">
      <c r="A237" t="s">
        <v>236</v>
      </c>
      <c r="B237" s="1">
        <v>5</v>
      </c>
      <c r="C237" s="1">
        <v>9</v>
      </c>
      <c r="D237" s="1">
        <v>3</v>
      </c>
      <c r="E237" s="2">
        <v>8.5399999999999991</v>
      </c>
      <c r="G237" s="1"/>
      <c r="H237" s="1"/>
    </row>
    <row r="238" spans="1:8" x14ac:dyDescent="0.25">
      <c r="A238" t="s">
        <v>237</v>
      </c>
      <c r="B238" s="1">
        <v>18</v>
      </c>
      <c r="C238" s="1">
        <v>12.5</v>
      </c>
      <c r="D238" s="1">
        <v>11</v>
      </c>
      <c r="E238" s="2">
        <v>23.299999</v>
      </c>
      <c r="G238" s="1"/>
      <c r="H238" s="1"/>
    </row>
    <row r="239" spans="1:8" x14ac:dyDescent="0.25">
      <c r="A239" t="s">
        <v>238</v>
      </c>
      <c r="B239" s="1">
        <v>18</v>
      </c>
      <c r="C239" s="1">
        <v>15</v>
      </c>
      <c r="D239" s="1">
        <v>14</v>
      </c>
      <c r="E239" s="2">
        <v>23.797001000000002</v>
      </c>
      <c r="G239" s="1"/>
      <c r="H239" s="1"/>
    </row>
    <row r="240" spans="1:8" x14ac:dyDescent="0.25">
      <c r="A240" t="s">
        <v>239</v>
      </c>
      <c r="B240" s="1">
        <v>28</v>
      </c>
      <c r="C240" s="1">
        <v>18.5</v>
      </c>
      <c r="D240" s="1">
        <v>24</v>
      </c>
      <c r="E240" s="2">
        <v>37.556998999999998</v>
      </c>
      <c r="G240" s="1"/>
      <c r="H240" s="1"/>
    </row>
    <row r="241" spans="1:8" x14ac:dyDescent="0.25">
      <c r="A241" t="s">
        <v>240</v>
      </c>
      <c r="B241" s="1">
        <v>32</v>
      </c>
      <c r="C241" s="1">
        <v>20</v>
      </c>
      <c r="D241" s="1">
        <v>26</v>
      </c>
      <c r="E241" s="2">
        <v>41.127003000000002</v>
      </c>
      <c r="G241" s="1"/>
      <c r="H241" s="1"/>
    </row>
    <row r="242" spans="1:8" x14ac:dyDescent="0.25">
      <c r="A242" t="s">
        <v>241</v>
      </c>
      <c r="B242" s="1">
        <v>6</v>
      </c>
      <c r="C242" s="1">
        <v>0.5</v>
      </c>
      <c r="D242" s="1">
        <v>6</v>
      </c>
      <c r="E242" s="2">
        <v>4.59</v>
      </c>
      <c r="G242" s="1"/>
      <c r="H242" s="1"/>
    </row>
    <row r="243" spans="1:8" x14ac:dyDescent="0.25">
      <c r="A243" t="s">
        <v>242</v>
      </c>
      <c r="B243" s="1">
        <v>18</v>
      </c>
      <c r="C243" s="1">
        <v>6</v>
      </c>
      <c r="D243" s="1">
        <v>9</v>
      </c>
      <c r="E243" s="2">
        <v>11.469999</v>
      </c>
      <c r="G243" s="1"/>
      <c r="H243" s="1"/>
    </row>
    <row r="244" spans="1:8" x14ac:dyDescent="0.25">
      <c r="A244" t="s">
        <v>243</v>
      </c>
      <c r="B244" s="1">
        <v>8</v>
      </c>
      <c r="C244" s="1">
        <v>4.5</v>
      </c>
      <c r="D244" s="1">
        <v>32</v>
      </c>
      <c r="E244" s="2">
        <v>5.633</v>
      </c>
      <c r="G244" s="1"/>
      <c r="H244" s="1"/>
    </row>
    <row r="245" spans="1:8" x14ac:dyDescent="0.25">
      <c r="A245" t="s">
        <v>244</v>
      </c>
      <c r="B245" s="1">
        <v>28</v>
      </c>
      <c r="C245" s="1">
        <v>15</v>
      </c>
      <c r="D245" s="1">
        <v>48</v>
      </c>
      <c r="E245" s="2">
        <v>10.17357</v>
      </c>
      <c r="G245" s="1"/>
      <c r="H245" s="1"/>
    </row>
    <row r="246" spans="1:8" x14ac:dyDescent="0.25">
      <c r="A246" t="s">
        <v>245</v>
      </c>
      <c r="B246" s="1">
        <v>34</v>
      </c>
      <c r="C246" s="1">
        <v>17.5</v>
      </c>
      <c r="D246" s="1">
        <v>52</v>
      </c>
      <c r="E246" s="2">
        <v>21.063569999999999</v>
      </c>
      <c r="G246" s="1"/>
      <c r="H246" s="1"/>
    </row>
    <row r="247" spans="1:8" x14ac:dyDescent="0.25">
      <c r="A247" t="s">
        <v>246</v>
      </c>
      <c r="B247" s="1">
        <v>35</v>
      </c>
      <c r="C247" s="1">
        <v>21</v>
      </c>
      <c r="D247" s="1">
        <v>38</v>
      </c>
      <c r="E247" s="2">
        <v>24.84</v>
      </c>
      <c r="G247" s="1"/>
      <c r="H247" s="1"/>
    </row>
    <row r="248" spans="1:8" x14ac:dyDescent="0.25">
      <c r="A248" t="s">
        <v>247</v>
      </c>
      <c r="B248" s="1">
        <v>42</v>
      </c>
      <c r="C248" s="1">
        <v>26</v>
      </c>
      <c r="D248" s="1">
        <v>40</v>
      </c>
      <c r="E248" s="2">
        <v>29.885567000000002</v>
      </c>
      <c r="G248" s="1"/>
      <c r="H248" s="1"/>
    </row>
    <row r="249" spans="1:8" x14ac:dyDescent="0.25">
      <c r="A249" t="s">
        <v>248</v>
      </c>
      <c r="B249" s="1">
        <v>45</v>
      </c>
      <c r="C249" s="1">
        <v>48.5</v>
      </c>
      <c r="D249" s="1">
        <v>40</v>
      </c>
      <c r="E249" s="2">
        <v>62.243580000000001</v>
      </c>
      <c r="G249" s="1"/>
      <c r="H249" s="1"/>
    </row>
    <row r="250" spans="1:8" x14ac:dyDescent="0.25">
      <c r="A250" t="s">
        <v>249</v>
      </c>
      <c r="B250" s="1">
        <v>15</v>
      </c>
      <c r="C250" s="1">
        <v>14.2</v>
      </c>
      <c r="D250" s="1">
        <v>13</v>
      </c>
      <c r="E250" s="2">
        <v>19.457999999999998</v>
      </c>
      <c r="G250" s="1"/>
      <c r="H250" s="1"/>
    </row>
    <row r="251" spans="1:8" x14ac:dyDescent="0.25">
      <c r="A251" t="s">
        <v>250</v>
      </c>
      <c r="B251" s="1">
        <v>5</v>
      </c>
      <c r="C251" s="1">
        <v>7.8</v>
      </c>
      <c r="D251" s="1">
        <v>3</v>
      </c>
      <c r="E251" s="2">
        <v>12.395</v>
      </c>
      <c r="G251" s="1"/>
      <c r="H251" s="1"/>
    </row>
    <row r="252" spans="1:8" x14ac:dyDescent="0.25">
      <c r="A252" t="s">
        <v>251</v>
      </c>
      <c r="B252" s="1">
        <v>10</v>
      </c>
      <c r="C252" s="1">
        <v>11.2</v>
      </c>
      <c r="D252" s="1">
        <v>6</v>
      </c>
      <c r="E252" s="2">
        <v>14.762364</v>
      </c>
      <c r="G252" s="1"/>
      <c r="H252" s="1"/>
    </row>
    <row r="253" spans="1:8" x14ac:dyDescent="0.25">
      <c r="A253" t="s">
        <v>252</v>
      </c>
      <c r="B253" s="1">
        <v>12</v>
      </c>
      <c r="C253" s="1">
        <v>8.5</v>
      </c>
      <c r="D253" s="1">
        <v>9</v>
      </c>
      <c r="E253" s="2">
        <v>18.565031000000001</v>
      </c>
      <c r="G253" s="1"/>
      <c r="H253" s="1"/>
    </row>
    <row r="254" spans="1:8" x14ac:dyDescent="0.25">
      <c r="A254" t="s">
        <v>253</v>
      </c>
      <c r="B254" s="1">
        <v>14</v>
      </c>
      <c r="C254" s="1">
        <v>9.3000000000000007</v>
      </c>
      <c r="D254" s="1">
        <v>12</v>
      </c>
      <c r="E254" s="2">
        <v>19.895029000000001</v>
      </c>
      <c r="G254" s="1"/>
      <c r="H254" s="1"/>
    </row>
    <row r="255" spans="1:8" x14ac:dyDescent="0.25">
      <c r="A255" t="s">
        <v>254</v>
      </c>
      <c r="B255" s="1">
        <v>3</v>
      </c>
      <c r="C255" s="1">
        <v>2.1</v>
      </c>
      <c r="D255" s="1">
        <v>0.5</v>
      </c>
      <c r="E255" s="2">
        <v>4.9249029999999996</v>
      </c>
      <c r="G255" s="1"/>
      <c r="H255" s="1"/>
    </row>
    <row r="256" spans="1:8" x14ac:dyDescent="0.25">
      <c r="A256" t="s">
        <v>255</v>
      </c>
      <c r="B256" s="1">
        <v>6</v>
      </c>
      <c r="C256" s="1">
        <v>3.8</v>
      </c>
      <c r="D256" s="1">
        <v>6</v>
      </c>
      <c r="E256" s="2">
        <v>8.614903</v>
      </c>
      <c r="G256" s="1"/>
      <c r="H256" s="1"/>
    </row>
    <row r="257" spans="1:8" x14ac:dyDescent="0.25">
      <c r="A257" t="s">
        <v>256</v>
      </c>
      <c r="B257" s="1">
        <v>10</v>
      </c>
      <c r="C257" s="1">
        <v>7.2</v>
      </c>
      <c r="D257" s="1">
        <v>12</v>
      </c>
      <c r="E257" s="2">
        <v>18.134903000000001</v>
      </c>
      <c r="G257" s="1"/>
      <c r="H257" s="1"/>
    </row>
    <row r="258" spans="1:8" x14ac:dyDescent="0.25">
      <c r="A258" t="s">
        <v>257</v>
      </c>
      <c r="B258" s="1">
        <v>22</v>
      </c>
      <c r="C258" s="1">
        <v>18.399999999999999</v>
      </c>
      <c r="D258" s="1">
        <v>32</v>
      </c>
      <c r="E258" s="2">
        <v>36.314898999999997</v>
      </c>
      <c r="G258" s="1"/>
      <c r="H258" s="1"/>
    </row>
    <row r="259" spans="1:8" x14ac:dyDescent="0.25">
      <c r="A259" t="s">
        <v>258</v>
      </c>
      <c r="B259" s="1">
        <v>4</v>
      </c>
      <c r="C259" s="1">
        <v>16.8</v>
      </c>
      <c r="D259" s="1">
        <v>2</v>
      </c>
      <c r="E259" s="2">
        <v>2.0299999999999998</v>
      </c>
      <c r="G259" s="1"/>
      <c r="H259" s="1"/>
    </row>
    <row r="260" spans="1:8" x14ac:dyDescent="0.25">
      <c r="A260" t="s">
        <v>259</v>
      </c>
      <c r="B260" s="1">
        <v>18</v>
      </c>
      <c r="C260" s="1">
        <v>28.5</v>
      </c>
      <c r="D260" s="1">
        <v>24</v>
      </c>
      <c r="E260" s="2">
        <v>16.43</v>
      </c>
      <c r="G260" s="1"/>
      <c r="H260" s="1"/>
    </row>
    <row r="261" spans="1:8" x14ac:dyDescent="0.25">
      <c r="A261" t="s">
        <v>260</v>
      </c>
      <c r="B261" s="1">
        <v>20</v>
      </c>
      <c r="C261" s="1">
        <v>18.2</v>
      </c>
      <c r="D261" s="1">
        <v>24.5</v>
      </c>
      <c r="E261" s="2">
        <v>17.648001000000001</v>
      </c>
      <c r="G261" s="1"/>
      <c r="H261" s="1"/>
    </row>
    <row r="262" spans="1:8" x14ac:dyDescent="0.25">
      <c r="A262" t="s">
        <v>261</v>
      </c>
      <c r="B262" s="1">
        <v>12</v>
      </c>
      <c r="C262" s="1">
        <v>3.5</v>
      </c>
      <c r="D262" s="1">
        <v>38</v>
      </c>
      <c r="E262" s="2">
        <v>26.950001</v>
      </c>
      <c r="G262" s="1"/>
      <c r="H262" s="1"/>
    </row>
    <row r="263" spans="1:8" x14ac:dyDescent="0.25">
      <c r="A263" t="s">
        <v>262</v>
      </c>
      <c r="B263" s="1">
        <v>6</v>
      </c>
      <c r="C263" s="1">
        <v>2.8</v>
      </c>
      <c r="D263" s="1">
        <v>6.5</v>
      </c>
      <c r="E263" s="2">
        <v>20.433862999999999</v>
      </c>
      <c r="G263" s="1"/>
      <c r="H263" s="1"/>
    </row>
    <row r="264" spans="1:8" x14ac:dyDescent="0.25">
      <c r="A264" t="s">
        <v>263</v>
      </c>
      <c r="B264" s="1">
        <v>18</v>
      </c>
      <c r="C264" s="1">
        <v>9.1999999999999993</v>
      </c>
      <c r="D264" s="1">
        <v>21</v>
      </c>
      <c r="E264" s="2">
        <v>30.821442000000001</v>
      </c>
      <c r="G264" s="1"/>
      <c r="H264" s="1"/>
    </row>
    <row r="265" spans="1:8" x14ac:dyDescent="0.25">
      <c r="A265" t="s">
        <v>264</v>
      </c>
      <c r="B265" s="1">
        <v>5</v>
      </c>
      <c r="C265" s="1">
        <v>5.2</v>
      </c>
      <c r="D265" s="1">
        <v>3</v>
      </c>
      <c r="E265" s="2">
        <v>2.5268290000000002</v>
      </c>
      <c r="G265" s="1"/>
      <c r="H265" s="1"/>
    </row>
    <row r="266" spans="1:8" x14ac:dyDescent="0.25">
      <c r="A266" t="s">
        <v>265</v>
      </c>
      <c r="B266" s="1">
        <v>10</v>
      </c>
      <c r="C266" s="1">
        <v>10.8</v>
      </c>
      <c r="D266" s="1">
        <v>12</v>
      </c>
      <c r="E266" s="2">
        <v>14.426828</v>
      </c>
      <c r="G266" s="1"/>
      <c r="H266" s="1"/>
    </row>
    <row r="267" spans="1:8" x14ac:dyDescent="0.25">
      <c r="A267" t="s">
        <v>266</v>
      </c>
      <c r="B267" s="1">
        <v>16</v>
      </c>
      <c r="C267" s="1">
        <v>16.5</v>
      </c>
      <c r="D267" s="1">
        <v>24.5</v>
      </c>
      <c r="E267" s="2">
        <v>24.826827999999999</v>
      </c>
      <c r="G267" s="1"/>
      <c r="H267" s="1"/>
    </row>
    <row r="268" spans="1:8" x14ac:dyDescent="0.25">
      <c r="A268" t="s">
        <v>267</v>
      </c>
      <c r="B268" s="1">
        <v>22</v>
      </c>
      <c r="C268" s="1">
        <v>42.3</v>
      </c>
      <c r="D268" s="1">
        <v>18</v>
      </c>
      <c r="E268" s="2">
        <v>27.178826999999998</v>
      </c>
      <c r="G268" s="1"/>
      <c r="H268" s="1"/>
    </row>
    <row r="269" spans="1:8" x14ac:dyDescent="0.25">
      <c r="A269" t="s">
        <v>268</v>
      </c>
      <c r="B269" s="1">
        <v>45</v>
      </c>
      <c r="C269" s="1">
        <v>48.7</v>
      </c>
      <c r="D269" s="1">
        <v>32</v>
      </c>
      <c r="E269" s="2">
        <v>39.058826000000003</v>
      </c>
      <c r="G269" s="1"/>
      <c r="H269" s="1"/>
    </row>
    <row r="270" spans="1:8" x14ac:dyDescent="0.25">
      <c r="A270" t="s">
        <v>269</v>
      </c>
      <c r="B270" s="1">
        <v>85</v>
      </c>
      <c r="C270" s="1">
        <v>52.1</v>
      </c>
      <c r="D270" s="1">
        <v>52</v>
      </c>
      <c r="E270" s="2">
        <v>64.772835000000001</v>
      </c>
      <c r="G270" s="1"/>
      <c r="H270" s="1"/>
    </row>
    <row r="271" spans="1:8" x14ac:dyDescent="0.25">
      <c r="A271" t="s">
        <v>270</v>
      </c>
      <c r="B271" s="1">
        <v>5</v>
      </c>
      <c r="C271" s="1">
        <v>18.5</v>
      </c>
      <c r="D271" s="1">
        <v>3</v>
      </c>
      <c r="E271" s="2">
        <v>6.2</v>
      </c>
      <c r="G271" s="1"/>
      <c r="H271" s="1"/>
    </row>
    <row r="272" spans="1:8" x14ac:dyDescent="0.25">
      <c r="A272" t="s">
        <v>271</v>
      </c>
      <c r="B272" s="1">
        <v>35</v>
      </c>
      <c r="C272" s="1">
        <v>28.5</v>
      </c>
      <c r="D272" s="1">
        <v>30</v>
      </c>
      <c r="E272" s="2">
        <v>16.653193000000002</v>
      </c>
      <c r="G272" s="1"/>
      <c r="H272" s="1"/>
    </row>
    <row r="273" spans="1:8" x14ac:dyDescent="0.25">
      <c r="A273" t="s">
        <v>272</v>
      </c>
      <c r="B273" s="1">
        <v>35</v>
      </c>
      <c r="C273" s="1">
        <v>26</v>
      </c>
      <c r="D273" s="1">
        <v>35</v>
      </c>
      <c r="E273" s="2">
        <v>18.611984</v>
      </c>
      <c r="G273" s="1"/>
      <c r="H273" s="1"/>
    </row>
    <row r="274" spans="1:8" x14ac:dyDescent="0.25">
      <c r="A274" t="s">
        <v>273</v>
      </c>
      <c r="B274" s="1">
        <v>15</v>
      </c>
      <c r="C274" s="1">
        <v>8.5</v>
      </c>
      <c r="D274" s="1">
        <v>12</v>
      </c>
      <c r="E274" s="2">
        <v>19.140001000000002</v>
      </c>
      <c r="G274" s="1"/>
      <c r="H274" s="1"/>
    </row>
    <row r="275" spans="1:8" x14ac:dyDescent="0.25">
      <c r="A275" t="s">
        <v>274</v>
      </c>
      <c r="B275" s="1">
        <v>30</v>
      </c>
      <c r="C275" s="1">
        <v>15</v>
      </c>
      <c r="D275" s="1">
        <v>18</v>
      </c>
      <c r="E275" s="2">
        <v>31.320001999999999</v>
      </c>
      <c r="G275" s="1"/>
      <c r="H275" s="1"/>
    </row>
    <row r="276" spans="1:8" x14ac:dyDescent="0.25">
      <c r="A276" t="s">
        <v>275</v>
      </c>
      <c r="B276" s="1">
        <v>28</v>
      </c>
      <c r="C276" s="1">
        <v>14.5</v>
      </c>
      <c r="D276" s="1">
        <v>19</v>
      </c>
      <c r="E276" s="2">
        <v>32.833610999999998</v>
      </c>
      <c r="G276" s="1"/>
      <c r="H276" s="1"/>
    </row>
    <row r="277" spans="1:8" x14ac:dyDescent="0.25">
      <c r="A277" t="s">
        <v>276</v>
      </c>
      <c r="B277" s="1">
        <v>30</v>
      </c>
      <c r="C277" s="1">
        <v>5.5</v>
      </c>
      <c r="D277" s="1">
        <v>20</v>
      </c>
      <c r="E277" s="2">
        <v>37.651038999999997</v>
      </c>
      <c r="G277" s="1"/>
      <c r="H277" s="1"/>
    </row>
    <row r="278" spans="1:8" x14ac:dyDescent="0.25">
      <c r="A278" t="s">
        <v>277</v>
      </c>
      <c r="B278" s="1">
        <v>2.5</v>
      </c>
      <c r="C278" s="1">
        <v>3.5</v>
      </c>
      <c r="D278" s="1">
        <v>1</v>
      </c>
      <c r="E278" s="2">
        <v>6.1561279999999998</v>
      </c>
      <c r="G278" s="1"/>
      <c r="H278" s="1"/>
    </row>
    <row r="279" spans="1:8" x14ac:dyDescent="0.25">
      <c r="A279" t="s">
        <v>278</v>
      </c>
      <c r="B279" s="1">
        <v>8</v>
      </c>
      <c r="C279" s="1">
        <v>10</v>
      </c>
      <c r="D279" s="1">
        <v>5</v>
      </c>
      <c r="E279" s="2">
        <v>11.336126999999999</v>
      </c>
      <c r="G279" s="1"/>
      <c r="H279" s="1"/>
    </row>
    <row r="280" spans="1:8" x14ac:dyDescent="0.25">
      <c r="A280" t="s">
        <v>279</v>
      </c>
      <c r="B280" s="1">
        <v>15</v>
      </c>
      <c r="C280" s="1">
        <v>14.5</v>
      </c>
      <c r="D280" s="1">
        <v>12</v>
      </c>
      <c r="E280" s="2">
        <v>15.496128000000001</v>
      </c>
      <c r="G280" s="1"/>
      <c r="H280" s="1"/>
    </row>
    <row r="281" spans="1:8" x14ac:dyDescent="0.25">
      <c r="A281" t="s">
        <v>280</v>
      </c>
      <c r="B281" s="1">
        <v>25</v>
      </c>
      <c r="C281" s="1">
        <v>22</v>
      </c>
      <c r="D281" s="1">
        <v>26</v>
      </c>
      <c r="E281" s="2">
        <v>24.856128999999999</v>
      </c>
      <c r="G281" s="1"/>
      <c r="H281" s="1"/>
    </row>
    <row r="282" spans="1:8" x14ac:dyDescent="0.25">
      <c r="A282" t="s">
        <v>281</v>
      </c>
      <c r="B282" s="1">
        <v>38</v>
      </c>
      <c r="C282" s="1">
        <v>35.5</v>
      </c>
      <c r="D282" s="1">
        <v>28</v>
      </c>
      <c r="E282" s="2">
        <v>26.31213</v>
      </c>
      <c r="G282" s="1"/>
      <c r="H282" s="1"/>
    </row>
    <row r="283" spans="1:8" x14ac:dyDescent="0.25">
      <c r="A283" t="s">
        <v>282</v>
      </c>
      <c r="B283" s="1">
        <v>6</v>
      </c>
      <c r="C283" s="1">
        <v>12.5</v>
      </c>
      <c r="D283" s="1">
        <v>9</v>
      </c>
      <c r="E283" s="2">
        <v>5.8525679999999998</v>
      </c>
      <c r="G283" s="1"/>
      <c r="H283" s="1"/>
    </row>
    <row r="284" spans="1:8" x14ac:dyDescent="0.25">
      <c r="A284" t="s">
        <v>283</v>
      </c>
      <c r="B284" s="1">
        <v>30</v>
      </c>
      <c r="C284" s="1">
        <v>28.5</v>
      </c>
      <c r="D284" s="1">
        <v>31</v>
      </c>
      <c r="E284" s="2">
        <v>31.491592000000001</v>
      </c>
      <c r="G284" s="1"/>
      <c r="H284" s="1"/>
    </row>
    <row r="285" spans="1:8" x14ac:dyDescent="0.25">
      <c r="A285" t="s">
        <v>284</v>
      </c>
      <c r="B285" s="1">
        <v>32</v>
      </c>
      <c r="C285" s="1">
        <v>42</v>
      </c>
      <c r="D285" s="1">
        <v>35</v>
      </c>
      <c r="E285" s="2">
        <v>32.771591000000001</v>
      </c>
      <c r="G285" s="1"/>
      <c r="H285" s="1"/>
    </row>
    <row r="286" spans="1:8" x14ac:dyDescent="0.25">
      <c r="A286" t="s">
        <v>285</v>
      </c>
      <c r="B286" s="1">
        <v>25</v>
      </c>
      <c r="C286" s="1">
        <v>12</v>
      </c>
      <c r="D286" s="1">
        <v>18</v>
      </c>
      <c r="E286" s="2">
        <v>13.965</v>
      </c>
      <c r="G286" s="1"/>
      <c r="H286" s="1"/>
    </row>
    <row r="287" spans="1:8" x14ac:dyDescent="0.25">
      <c r="A287" t="s">
        <v>286</v>
      </c>
      <c r="B287" s="1">
        <v>8</v>
      </c>
      <c r="C287" s="1">
        <v>9.5</v>
      </c>
      <c r="D287" s="1">
        <v>12</v>
      </c>
      <c r="E287" s="2">
        <v>23.76</v>
      </c>
      <c r="G287" s="1"/>
      <c r="H287" s="1"/>
    </row>
    <row r="288" spans="1:8" x14ac:dyDescent="0.25">
      <c r="A288" t="s">
        <v>287</v>
      </c>
      <c r="B288" s="1">
        <v>28</v>
      </c>
      <c r="C288" s="1">
        <v>18.5</v>
      </c>
      <c r="D288" s="1">
        <v>32</v>
      </c>
      <c r="E288" s="2">
        <v>44.751998999999998</v>
      </c>
      <c r="G288" s="1"/>
      <c r="H288" s="1"/>
    </row>
    <row r="289" spans="1:8" x14ac:dyDescent="0.25">
      <c r="A289" t="s">
        <v>288</v>
      </c>
      <c r="B289" s="1">
        <v>32</v>
      </c>
      <c r="C289" s="1">
        <v>20</v>
      </c>
      <c r="D289" s="1">
        <v>38</v>
      </c>
      <c r="E289" s="2">
        <v>46.917167999999997</v>
      </c>
      <c r="G289" s="1"/>
      <c r="H289" s="1"/>
    </row>
    <row r="290" spans="1:8" x14ac:dyDescent="0.25">
      <c r="A290" t="s">
        <v>289</v>
      </c>
      <c r="B290" s="1">
        <v>32</v>
      </c>
      <c r="C290" s="1">
        <v>19</v>
      </c>
      <c r="D290" s="1">
        <v>39</v>
      </c>
      <c r="E290" s="2">
        <v>48.766399</v>
      </c>
      <c r="G290" s="1"/>
      <c r="H290" s="1"/>
    </row>
    <row r="291" spans="1:8" x14ac:dyDescent="0.25">
      <c r="A291" t="s">
        <v>290</v>
      </c>
      <c r="B291" s="1">
        <v>3</v>
      </c>
      <c r="C291" s="1">
        <v>2</v>
      </c>
      <c r="D291" s="1">
        <v>1.5</v>
      </c>
      <c r="E291" s="2">
        <v>1.5195149999999999</v>
      </c>
      <c r="G291" s="1"/>
      <c r="H291" s="1"/>
    </row>
    <row r="292" spans="1:8" x14ac:dyDescent="0.25">
      <c r="A292" t="s">
        <v>291</v>
      </c>
      <c r="B292" s="1">
        <v>22</v>
      </c>
      <c r="C292" s="1">
        <v>8.5</v>
      </c>
      <c r="D292" s="1">
        <v>6.5</v>
      </c>
      <c r="E292" s="2">
        <v>19.273878</v>
      </c>
      <c r="G292" s="1"/>
      <c r="H292" s="1"/>
    </row>
    <row r="293" spans="1:8" x14ac:dyDescent="0.25">
      <c r="A293" t="s">
        <v>292</v>
      </c>
      <c r="B293" s="1">
        <v>22</v>
      </c>
      <c r="C293" s="1">
        <v>9</v>
      </c>
      <c r="D293" s="1">
        <v>7.5</v>
      </c>
      <c r="E293" s="2">
        <v>23.783417</v>
      </c>
      <c r="G293" s="1"/>
      <c r="H293" s="1"/>
    </row>
    <row r="294" spans="1:8" x14ac:dyDescent="0.25">
      <c r="A294" t="s">
        <v>293</v>
      </c>
      <c r="B294" s="1">
        <v>5</v>
      </c>
      <c r="C294" s="1">
        <v>6.5</v>
      </c>
      <c r="D294" s="1">
        <v>6.5</v>
      </c>
      <c r="E294" s="2">
        <v>0.54295300000000002</v>
      </c>
      <c r="G294" s="1"/>
      <c r="H294" s="1"/>
    </row>
    <row r="295" spans="1:8" x14ac:dyDescent="0.25">
      <c r="A295" t="s">
        <v>294</v>
      </c>
      <c r="B295" s="1">
        <v>4</v>
      </c>
      <c r="C295" s="1">
        <v>7.5</v>
      </c>
      <c r="D295" s="1">
        <v>5</v>
      </c>
      <c r="E295" s="2">
        <v>3.0799530000000002</v>
      </c>
      <c r="G295" s="1"/>
      <c r="H295" s="1"/>
    </row>
    <row r="296" spans="1:8" x14ac:dyDescent="0.25">
      <c r="A296" t="s">
        <v>295</v>
      </c>
      <c r="B296" s="1">
        <v>18</v>
      </c>
      <c r="C296" s="1">
        <v>18.5</v>
      </c>
      <c r="D296" s="1">
        <v>30</v>
      </c>
      <c r="E296" s="2">
        <v>40.870002999999997</v>
      </c>
      <c r="G296" s="1"/>
      <c r="H296" s="1"/>
    </row>
    <row r="297" spans="1:8" x14ac:dyDescent="0.25">
      <c r="A297" t="s">
        <v>296</v>
      </c>
      <c r="B297" s="1">
        <v>22</v>
      </c>
      <c r="C297" s="1">
        <v>22</v>
      </c>
      <c r="D297" s="1">
        <v>35</v>
      </c>
      <c r="E297" s="2">
        <v>43.364001999999999</v>
      </c>
      <c r="G297" s="1"/>
      <c r="H297" s="1"/>
    </row>
    <row r="298" spans="1:8" x14ac:dyDescent="0.25">
      <c r="A298" t="s">
        <v>297</v>
      </c>
      <c r="B298" s="1">
        <v>55</v>
      </c>
      <c r="C298" s="1">
        <v>38</v>
      </c>
      <c r="D298" s="1">
        <v>78</v>
      </c>
      <c r="E298" s="2">
        <v>65.333320999999998</v>
      </c>
      <c r="G298" s="1"/>
      <c r="H298" s="1"/>
    </row>
    <row r="299" spans="1:8" x14ac:dyDescent="0.25">
      <c r="A299" t="s">
        <v>298</v>
      </c>
      <c r="B299" s="1">
        <v>14</v>
      </c>
      <c r="C299" s="1">
        <v>11</v>
      </c>
      <c r="D299" s="1">
        <v>5</v>
      </c>
      <c r="E299" s="2">
        <v>1.17</v>
      </c>
      <c r="G299" s="1"/>
      <c r="H299" s="1"/>
    </row>
    <row r="300" spans="1:8" x14ac:dyDescent="0.25">
      <c r="A300" t="s">
        <v>299</v>
      </c>
      <c r="B300" s="1">
        <v>22</v>
      </c>
      <c r="C300" s="1">
        <v>18.5</v>
      </c>
      <c r="D300" s="1">
        <v>12</v>
      </c>
      <c r="E300" s="2">
        <v>8.0099990000000005</v>
      </c>
      <c r="G300" s="1"/>
      <c r="H300" s="1"/>
    </row>
    <row r="301" spans="1:8" x14ac:dyDescent="0.25">
      <c r="A301" t="s">
        <v>300</v>
      </c>
      <c r="B301" s="1">
        <v>36</v>
      </c>
      <c r="C301" s="1">
        <v>28</v>
      </c>
      <c r="D301" s="1">
        <v>30</v>
      </c>
      <c r="E301" s="2">
        <v>22.543018</v>
      </c>
      <c r="G301" s="1"/>
      <c r="H301" s="1"/>
    </row>
    <row r="302" spans="1:8" x14ac:dyDescent="0.25">
      <c r="A302" t="s">
        <v>301</v>
      </c>
      <c r="B302" s="1">
        <v>20</v>
      </c>
      <c r="C302" s="1">
        <v>18</v>
      </c>
      <c r="D302" s="1">
        <v>30</v>
      </c>
      <c r="E302" s="2">
        <v>27.84</v>
      </c>
      <c r="F302" s="1"/>
      <c r="G302" s="1"/>
      <c r="H302" s="1"/>
    </row>
    <row r="303" spans="1:8" x14ac:dyDescent="0.25">
      <c r="A303" t="s">
        <v>302</v>
      </c>
      <c r="B303" s="1">
        <v>2</v>
      </c>
      <c r="C303" s="1">
        <v>5.5</v>
      </c>
      <c r="D303" s="1">
        <v>2</v>
      </c>
      <c r="E303" s="2">
        <v>4.0723880000000001</v>
      </c>
      <c r="G303" s="1"/>
      <c r="H303" s="1"/>
    </row>
    <row r="304" spans="1:8" x14ac:dyDescent="0.25">
      <c r="A304" t="s">
        <v>303</v>
      </c>
      <c r="B304" s="1">
        <v>6</v>
      </c>
      <c r="C304" s="1">
        <v>6.5</v>
      </c>
      <c r="D304" s="1">
        <v>3.5</v>
      </c>
      <c r="E304" s="2">
        <v>4.3596159999999999</v>
      </c>
      <c r="G304" s="1"/>
      <c r="H304" s="1"/>
    </row>
    <row r="305" spans="1:7" x14ac:dyDescent="0.25">
      <c r="A305" t="s">
        <v>304</v>
      </c>
      <c r="B305" s="1">
        <v>8</v>
      </c>
      <c r="C305" s="1">
        <v>8</v>
      </c>
      <c r="D305" s="1">
        <v>6.5</v>
      </c>
      <c r="E305" s="2">
        <v>6.5098849999999997</v>
      </c>
      <c r="G305" s="1"/>
    </row>
    <row r="306" spans="1:7" x14ac:dyDescent="0.25">
      <c r="A306" t="s">
        <v>305</v>
      </c>
      <c r="B306" s="1">
        <v>12</v>
      </c>
      <c r="C306" s="1">
        <v>9.5</v>
      </c>
      <c r="D306" s="1">
        <v>9.5</v>
      </c>
      <c r="E306" s="2">
        <v>12.389885</v>
      </c>
      <c r="G306" s="1"/>
    </row>
    <row r="307" spans="1:7" x14ac:dyDescent="0.25">
      <c r="A307" t="s">
        <v>306</v>
      </c>
      <c r="B307" s="1">
        <v>14</v>
      </c>
      <c r="C307" s="1">
        <v>10.5</v>
      </c>
      <c r="D307" s="1">
        <v>12</v>
      </c>
      <c r="E307" s="2">
        <v>23.968084000000001</v>
      </c>
      <c r="G307" s="1"/>
    </row>
    <row r="308" spans="1:7" x14ac:dyDescent="0.25">
      <c r="A308" t="s">
        <v>307</v>
      </c>
      <c r="B308" s="1">
        <v>4</v>
      </c>
      <c r="C308" s="1">
        <v>0.5</v>
      </c>
      <c r="D308" s="1">
        <v>0.5</v>
      </c>
      <c r="E308" s="2">
        <v>0.252</v>
      </c>
      <c r="G308" s="1"/>
    </row>
    <row r="309" spans="1:7" x14ac:dyDescent="0.25">
      <c r="A309" t="s">
        <v>308</v>
      </c>
      <c r="B309" s="1">
        <v>10</v>
      </c>
      <c r="C309" s="1">
        <v>10.5</v>
      </c>
      <c r="D309" s="1">
        <v>11.5</v>
      </c>
      <c r="E309" s="2">
        <v>8.1820000000000004</v>
      </c>
      <c r="G309" s="1"/>
    </row>
    <row r="310" spans="1:7" x14ac:dyDescent="0.25">
      <c r="A310" t="s">
        <v>309</v>
      </c>
      <c r="B310" s="1">
        <v>28</v>
      </c>
      <c r="C310" s="1">
        <v>16.5</v>
      </c>
      <c r="D310" s="1">
        <v>26.5</v>
      </c>
      <c r="E310" s="2">
        <v>25.845209000000001</v>
      </c>
      <c r="G310" s="1"/>
    </row>
    <row r="311" spans="1:7" x14ac:dyDescent="0.25">
      <c r="A311" t="s">
        <v>310</v>
      </c>
      <c r="B311" s="1">
        <v>60</v>
      </c>
      <c r="C311" s="1">
        <v>24</v>
      </c>
      <c r="D311" s="1">
        <v>38</v>
      </c>
      <c r="E311" s="2">
        <v>76.380004999999997</v>
      </c>
      <c r="G311" s="1"/>
    </row>
    <row r="312" spans="1:7" x14ac:dyDescent="0.25">
      <c r="A312" t="s">
        <v>311</v>
      </c>
      <c r="B312" s="1">
        <v>22</v>
      </c>
      <c r="C312" s="1">
        <v>1.5</v>
      </c>
      <c r="D312" s="1">
        <v>0</v>
      </c>
      <c r="E312" s="2">
        <v>0.19400000000000001</v>
      </c>
      <c r="G312" s="1"/>
    </row>
    <row r="313" spans="1:7" x14ac:dyDescent="0.25">
      <c r="A313" t="s">
        <v>312</v>
      </c>
      <c r="B313" s="1">
        <v>26</v>
      </c>
      <c r="C313" s="1">
        <v>4.5</v>
      </c>
      <c r="D313" s="1">
        <v>4.5</v>
      </c>
      <c r="E313" s="2">
        <v>2.9239999999999999</v>
      </c>
      <c r="G313" s="1"/>
    </row>
    <row r="314" spans="1:7" x14ac:dyDescent="0.25">
      <c r="A314" t="s">
        <v>313</v>
      </c>
      <c r="B314" s="1">
        <v>35</v>
      </c>
      <c r="C314" s="1">
        <v>6</v>
      </c>
      <c r="D314" s="1">
        <v>12</v>
      </c>
      <c r="E314" s="2">
        <v>12.393457</v>
      </c>
      <c r="G314" s="1"/>
    </row>
    <row r="315" spans="1:7" x14ac:dyDescent="0.25">
      <c r="A315" t="s">
        <v>314</v>
      </c>
      <c r="B315" s="1">
        <v>45</v>
      </c>
      <c r="C315" s="1">
        <v>32</v>
      </c>
      <c r="D315" s="1">
        <v>32</v>
      </c>
      <c r="E315" s="2">
        <v>54.133282000000001</v>
      </c>
      <c r="G315" s="1"/>
    </row>
    <row r="316" spans="1:7" x14ac:dyDescent="0.25">
      <c r="A316" t="s">
        <v>315</v>
      </c>
      <c r="B316" s="1">
        <v>18</v>
      </c>
      <c r="C316" s="1">
        <v>14.5</v>
      </c>
      <c r="D316" s="1">
        <v>14.5</v>
      </c>
      <c r="E316" s="2">
        <v>29.016000999999999</v>
      </c>
      <c r="G316" s="1"/>
    </row>
    <row r="317" spans="1:7" x14ac:dyDescent="0.25">
      <c r="A317" t="s">
        <v>316</v>
      </c>
      <c r="B317" s="1">
        <v>20</v>
      </c>
      <c r="C317" s="1">
        <v>19</v>
      </c>
      <c r="D317" s="1">
        <v>15.5</v>
      </c>
      <c r="E317" s="2">
        <v>29.723001</v>
      </c>
      <c r="G317" s="1"/>
    </row>
    <row r="318" spans="1:7" x14ac:dyDescent="0.25">
      <c r="A318" t="s">
        <v>317</v>
      </c>
      <c r="B318" s="1">
        <v>32</v>
      </c>
      <c r="C318" s="1">
        <v>28.5</v>
      </c>
      <c r="D318" s="1">
        <v>23.5</v>
      </c>
      <c r="E318" s="2">
        <v>46.757148999999998</v>
      </c>
      <c r="G318" s="1"/>
    </row>
    <row r="319" spans="1:7" x14ac:dyDescent="0.25">
      <c r="A319" t="s">
        <v>318</v>
      </c>
      <c r="B319" s="1">
        <v>48</v>
      </c>
      <c r="C319" s="1">
        <v>32</v>
      </c>
      <c r="D319" s="1">
        <v>38.5</v>
      </c>
      <c r="E319" s="2">
        <v>57.670921</v>
      </c>
      <c r="G319" s="1"/>
    </row>
    <row r="320" spans="1:7" x14ac:dyDescent="0.25">
      <c r="A320" t="s">
        <v>319</v>
      </c>
      <c r="B320" s="1">
        <v>65</v>
      </c>
      <c r="C320" s="1">
        <v>42</v>
      </c>
      <c r="D320" s="1">
        <v>52.5</v>
      </c>
      <c r="E320" s="2">
        <v>79.790924000000004</v>
      </c>
      <c r="G320" s="1"/>
    </row>
    <row r="321" spans="1:7" x14ac:dyDescent="0.25">
      <c r="A321" t="s">
        <v>320</v>
      </c>
      <c r="B321" s="1">
        <v>8</v>
      </c>
      <c r="C321" s="1">
        <v>9.5</v>
      </c>
      <c r="D321" s="1">
        <v>9.5</v>
      </c>
      <c r="E321" s="2">
        <v>19.360001</v>
      </c>
      <c r="G321" s="1"/>
    </row>
    <row r="322" spans="1:7" x14ac:dyDescent="0.25">
      <c r="A322" t="s">
        <v>321</v>
      </c>
      <c r="B322" s="1">
        <v>10</v>
      </c>
      <c r="C322" s="1">
        <v>12</v>
      </c>
      <c r="D322" s="1">
        <v>34.5</v>
      </c>
      <c r="E322" s="2">
        <v>21.651378999999999</v>
      </c>
      <c r="G322" s="1"/>
    </row>
    <row r="323" spans="1:7" x14ac:dyDescent="0.25">
      <c r="A323" t="s">
        <v>322</v>
      </c>
      <c r="B323" s="1">
        <v>12</v>
      </c>
      <c r="C323" s="1">
        <v>13</v>
      </c>
      <c r="D323" s="1">
        <v>38</v>
      </c>
      <c r="E323" s="2">
        <v>23.045525000000001</v>
      </c>
      <c r="G323" s="1"/>
    </row>
    <row r="324" spans="1:7" x14ac:dyDescent="0.25">
      <c r="A324" t="s">
        <v>323</v>
      </c>
      <c r="B324" s="1">
        <v>14</v>
      </c>
      <c r="C324" s="1">
        <v>15.5</v>
      </c>
      <c r="D324" s="1">
        <v>41.5</v>
      </c>
      <c r="E324" s="2">
        <v>24.998692999999999</v>
      </c>
      <c r="G324" s="1"/>
    </row>
    <row r="325" spans="1:7" x14ac:dyDescent="0.25">
      <c r="A325" t="s">
        <v>324</v>
      </c>
      <c r="B325" s="1">
        <v>16</v>
      </c>
      <c r="C325" s="1">
        <v>16.5</v>
      </c>
      <c r="D325" s="1">
        <v>43.5</v>
      </c>
      <c r="E325" s="2">
        <v>26.577687999999998</v>
      </c>
      <c r="G325" s="1"/>
    </row>
    <row r="326" spans="1:7" x14ac:dyDescent="0.25">
      <c r="A326" t="s">
        <v>325</v>
      </c>
      <c r="B326" s="1">
        <v>20</v>
      </c>
      <c r="C326" s="1">
        <v>17.5</v>
      </c>
      <c r="D326" s="1">
        <v>48</v>
      </c>
      <c r="E326" s="2">
        <v>32.026699000000001</v>
      </c>
      <c r="G326" s="1"/>
    </row>
    <row r="327" spans="1:7" x14ac:dyDescent="0.25">
      <c r="A327" t="s">
        <v>326</v>
      </c>
      <c r="B327" s="1">
        <v>18</v>
      </c>
      <c r="C327" s="1">
        <v>8.5</v>
      </c>
      <c r="D327" s="1">
        <v>52</v>
      </c>
      <c r="E327" s="2">
        <v>46.75</v>
      </c>
      <c r="G327" s="1"/>
    </row>
    <row r="328" spans="1:7" x14ac:dyDescent="0.25">
      <c r="A328" t="s">
        <v>327</v>
      </c>
      <c r="B328" s="1">
        <v>22</v>
      </c>
      <c r="C328" s="1">
        <v>12</v>
      </c>
      <c r="D328" s="1">
        <v>38</v>
      </c>
      <c r="E328" s="2">
        <v>48.869174999999998</v>
      </c>
      <c r="G328" s="1"/>
    </row>
    <row r="329" spans="1:7" x14ac:dyDescent="0.25">
      <c r="A329" t="s">
        <v>328</v>
      </c>
      <c r="B329" s="1">
        <v>30</v>
      </c>
      <c r="C329" s="1">
        <v>13.5</v>
      </c>
      <c r="D329" s="1">
        <v>41</v>
      </c>
      <c r="E329" s="2">
        <v>56.243797000000001</v>
      </c>
      <c r="G329" s="1"/>
    </row>
    <row r="330" spans="1:7" x14ac:dyDescent="0.25">
      <c r="A330" t="s">
        <v>329</v>
      </c>
      <c r="B330" s="1">
        <v>28</v>
      </c>
      <c r="C330" s="1">
        <v>11</v>
      </c>
      <c r="D330" s="1">
        <v>9</v>
      </c>
      <c r="E330" s="2">
        <v>0.88900000000000001</v>
      </c>
      <c r="G330" s="1"/>
    </row>
    <row r="331" spans="1:7" x14ac:dyDescent="0.25">
      <c r="A331" t="s">
        <v>330</v>
      </c>
      <c r="B331" s="1">
        <v>32</v>
      </c>
      <c r="C331" s="1">
        <v>7.5</v>
      </c>
      <c r="D331" s="1">
        <v>12</v>
      </c>
      <c r="E331" s="2">
        <v>8.1690009999999997</v>
      </c>
      <c r="G331" s="1"/>
    </row>
    <row r="332" spans="1:7" x14ac:dyDescent="0.25">
      <c r="A332" t="s">
        <v>331</v>
      </c>
      <c r="B332" s="1">
        <v>1</v>
      </c>
      <c r="C332" s="1">
        <v>0.5</v>
      </c>
      <c r="D332" s="1">
        <v>0.1</v>
      </c>
      <c r="E332" s="2">
        <v>0.14000000000000001</v>
      </c>
      <c r="G332" s="1"/>
    </row>
    <row r="333" spans="1:7" x14ac:dyDescent="0.25">
      <c r="A333" t="s">
        <v>332</v>
      </c>
      <c r="B333" s="1">
        <v>4</v>
      </c>
      <c r="C333" s="1">
        <v>5.5</v>
      </c>
      <c r="D333" s="1">
        <v>1.2</v>
      </c>
      <c r="E333" s="2">
        <v>2.1880000000000002</v>
      </c>
      <c r="G333" s="1"/>
    </row>
    <row r="334" spans="1:7" x14ac:dyDescent="0.25">
      <c r="A334" t="s">
        <v>333</v>
      </c>
      <c r="B334" s="1">
        <v>12</v>
      </c>
      <c r="C334" s="1">
        <v>11.5</v>
      </c>
      <c r="D334" s="1">
        <v>6.8</v>
      </c>
      <c r="E334" s="2">
        <v>10.499256000000001</v>
      </c>
      <c r="G334" s="1"/>
    </row>
    <row r="335" spans="1:7" x14ac:dyDescent="0.25">
      <c r="A335" t="s">
        <v>334</v>
      </c>
      <c r="B335" s="1">
        <v>28</v>
      </c>
      <c r="C335" s="1">
        <v>25.5</v>
      </c>
      <c r="D335" s="1">
        <v>24.3</v>
      </c>
      <c r="E335" s="2">
        <v>30.001255</v>
      </c>
      <c r="G335" s="1"/>
    </row>
    <row r="336" spans="1:7" x14ac:dyDescent="0.25">
      <c r="A336" t="s">
        <v>335</v>
      </c>
      <c r="B336" s="1">
        <v>30</v>
      </c>
      <c r="C336" s="1">
        <v>31</v>
      </c>
      <c r="D336" s="1">
        <v>26.5</v>
      </c>
      <c r="E336" s="2">
        <v>34.801257999999997</v>
      </c>
      <c r="G336" s="1"/>
    </row>
    <row r="337" spans="1:7" x14ac:dyDescent="0.25">
      <c r="A337" t="s">
        <v>336</v>
      </c>
      <c r="B337" s="1">
        <v>3</v>
      </c>
      <c r="C337" s="1">
        <v>2.5</v>
      </c>
      <c r="D337" s="1">
        <v>1.5</v>
      </c>
      <c r="E337" s="2">
        <v>2.2483659999999999</v>
      </c>
      <c r="G337" s="1"/>
    </row>
    <row r="338" spans="1:7" x14ac:dyDescent="0.25">
      <c r="A338" t="s">
        <v>337</v>
      </c>
      <c r="B338" s="1">
        <v>7</v>
      </c>
      <c r="C338" s="1">
        <v>5</v>
      </c>
      <c r="D338" s="1">
        <v>6.2</v>
      </c>
      <c r="E338" s="2">
        <v>8.1861160000000002</v>
      </c>
      <c r="G338" s="1"/>
    </row>
    <row r="339" spans="1:7" x14ac:dyDescent="0.25">
      <c r="A339" t="s">
        <v>338</v>
      </c>
      <c r="B339" s="1">
        <v>32</v>
      </c>
      <c r="C339" s="1">
        <v>16.5</v>
      </c>
      <c r="D339" s="1">
        <v>31.2</v>
      </c>
      <c r="E339" s="2">
        <v>44.664116</v>
      </c>
      <c r="G339" s="1"/>
    </row>
    <row r="340" spans="1:7" x14ac:dyDescent="0.25">
      <c r="A340" t="s">
        <v>339</v>
      </c>
      <c r="B340" s="1">
        <v>52</v>
      </c>
      <c r="C340" s="1">
        <v>19.5</v>
      </c>
      <c r="D340" s="1">
        <v>52.2</v>
      </c>
      <c r="E340" s="2">
        <v>74.144119000000003</v>
      </c>
      <c r="G340" s="1"/>
    </row>
    <row r="341" spans="1:7" x14ac:dyDescent="0.25">
      <c r="A341" t="s">
        <v>340</v>
      </c>
      <c r="B341" s="1">
        <v>2</v>
      </c>
      <c r="C341" s="1">
        <v>16.5</v>
      </c>
      <c r="D341" s="1">
        <v>3</v>
      </c>
      <c r="E341" s="2">
        <v>3.3039999999999998</v>
      </c>
      <c r="G341" s="1"/>
    </row>
    <row r="342" spans="1:7" x14ac:dyDescent="0.25">
      <c r="A342" t="s">
        <v>341</v>
      </c>
      <c r="B342" s="1">
        <v>8</v>
      </c>
      <c r="C342" s="1">
        <v>20.5</v>
      </c>
      <c r="D342" s="1">
        <v>12</v>
      </c>
      <c r="E342" s="2">
        <v>14.183999999999999</v>
      </c>
      <c r="G342" s="1"/>
    </row>
    <row r="343" spans="1:7" x14ac:dyDescent="0.25">
      <c r="A343" t="s">
        <v>342</v>
      </c>
      <c r="B343" s="1">
        <v>12</v>
      </c>
      <c r="C343" s="1">
        <v>22</v>
      </c>
      <c r="D343" s="1">
        <v>19.5</v>
      </c>
      <c r="E343" s="2">
        <v>22.243998999999999</v>
      </c>
      <c r="G343" s="1"/>
    </row>
    <row r="344" spans="1:7" x14ac:dyDescent="0.25">
      <c r="A344" t="s">
        <v>343</v>
      </c>
      <c r="B344" s="1">
        <v>18</v>
      </c>
      <c r="C344" s="1">
        <v>28.5</v>
      </c>
      <c r="D344" s="1">
        <v>31.5</v>
      </c>
      <c r="E344" s="2">
        <v>36.819611000000002</v>
      </c>
      <c r="G344" s="1"/>
    </row>
    <row r="345" spans="1:7" x14ac:dyDescent="0.25">
      <c r="A345" t="s">
        <v>344</v>
      </c>
      <c r="B345" s="1">
        <v>22</v>
      </c>
      <c r="C345" s="1">
        <v>29</v>
      </c>
      <c r="D345" s="1">
        <v>38.5</v>
      </c>
      <c r="E345" s="2">
        <v>44.607613000000001</v>
      </c>
      <c r="G345" s="1"/>
    </row>
    <row r="346" spans="1:7" x14ac:dyDescent="0.25">
      <c r="A346" t="s">
        <v>345</v>
      </c>
      <c r="B346" s="1">
        <v>2</v>
      </c>
      <c r="C346" s="1">
        <v>3</v>
      </c>
      <c r="D346" s="1">
        <v>0.8</v>
      </c>
      <c r="E346" s="2">
        <v>2.6170949999999999</v>
      </c>
      <c r="G346" s="1"/>
    </row>
    <row r="347" spans="1:7" x14ac:dyDescent="0.25">
      <c r="A347" t="s">
        <v>346</v>
      </c>
      <c r="B347" s="1">
        <v>5</v>
      </c>
      <c r="C347" s="1">
        <v>8.5</v>
      </c>
      <c r="D347" s="1">
        <v>6.8</v>
      </c>
      <c r="E347" s="2">
        <v>6.6670949999999998</v>
      </c>
      <c r="G347" s="1"/>
    </row>
    <row r="348" spans="1:7" x14ac:dyDescent="0.25">
      <c r="A348" t="s">
        <v>347</v>
      </c>
      <c r="B348" s="1">
        <v>20</v>
      </c>
      <c r="C348" s="1">
        <v>14.5</v>
      </c>
      <c r="D348" s="1">
        <v>9.5</v>
      </c>
      <c r="E348" s="2">
        <v>16.567097</v>
      </c>
      <c r="G348" s="1"/>
    </row>
    <row r="349" spans="1:7" x14ac:dyDescent="0.25">
      <c r="A349" t="s">
        <v>348</v>
      </c>
      <c r="B349" s="1">
        <v>20</v>
      </c>
      <c r="C349" s="1">
        <v>18.5</v>
      </c>
      <c r="D349" s="1">
        <v>9.8000000000000007</v>
      </c>
      <c r="E349" s="2">
        <v>19.300792999999999</v>
      </c>
      <c r="G349" s="1"/>
    </row>
    <row r="350" spans="1:7" x14ac:dyDescent="0.25">
      <c r="A350" t="s">
        <v>349</v>
      </c>
      <c r="B350" s="1">
        <v>1</v>
      </c>
      <c r="C350" s="1">
        <v>3.5</v>
      </c>
      <c r="D350" s="1">
        <v>0</v>
      </c>
      <c r="E350" s="2">
        <v>2.1631870000000002</v>
      </c>
      <c r="G350" s="1"/>
    </row>
    <row r="351" spans="1:7" x14ac:dyDescent="0.25">
      <c r="A351" t="s">
        <v>350</v>
      </c>
      <c r="B351" s="1">
        <v>12</v>
      </c>
      <c r="C351" s="1">
        <v>13</v>
      </c>
      <c r="D351" s="1">
        <v>14.5</v>
      </c>
      <c r="E351" s="2">
        <v>16.383185999999998</v>
      </c>
      <c r="G351" s="1"/>
    </row>
    <row r="352" spans="1:7" x14ac:dyDescent="0.25">
      <c r="A352" t="s">
        <v>351</v>
      </c>
      <c r="B352" s="1">
        <v>13</v>
      </c>
      <c r="C352" s="1">
        <v>14.5</v>
      </c>
      <c r="D352" s="1">
        <v>14.8</v>
      </c>
      <c r="E352" s="2">
        <v>21.402532999999998</v>
      </c>
      <c r="G352" s="1"/>
    </row>
    <row r="353" spans="1:9" x14ac:dyDescent="0.25">
      <c r="A353" t="s">
        <v>352</v>
      </c>
      <c r="B353" s="1">
        <v>18</v>
      </c>
      <c r="C353" s="1">
        <v>18</v>
      </c>
      <c r="D353" s="1">
        <v>20.8</v>
      </c>
      <c r="E353" s="2">
        <v>35.302531999999999</v>
      </c>
      <c r="G353" s="1"/>
    </row>
    <row r="354" spans="1:9" x14ac:dyDescent="0.25">
      <c r="A354" t="s">
        <v>353</v>
      </c>
      <c r="B354" s="1">
        <v>28</v>
      </c>
      <c r="C354" s="1">
        <v>19.5</v>
      </c>
      <c r="D354" s="1">
        <v>31.8</v>
      </c>
      <c r="E354" s="2">
        <v>51.552531999999999</v>
      </c>
      <c r="G354" s="1"/>
    </row>
    <row r="355" spans="1:9" x14ac:dyDescent="0.25">
      <c r="A355" t="s">
        <v>354</v>
      </c>
      <c r="B355" s="1">
        <v>30</v>
      </c>
      <c r="C355" s="1">
        <v>28</v>
      </c>
      <c r="D355" s="1">
        <v>38</v>
      </c>
      <c r="E355" s="2">
        <v>48.02</v>
      </c>
      <c r="G355" s="1"/>
    </row>
    <row r="356" spans="1:9" x14ac:dyDescent="0.25">
      <c r="A356" t="s">
        <v>355</v>
      </c>
      <c r="B356" s="1">
        <v>2</v>
      </c>
      <c r="C356" s="1">
        <v>2</v>
      </c>
      <c r="D356" s="1">
        <v>0</v>
      </c>
      <c r="E356" s="2">
        <v>0.13500000000000001</v>
      </c>
      <c r="G356" s="1"/>
    </row>
    <row r="357" spans="1:9" x14ac:dyDescent="0.25">
      <c r="A357" t="s">
        <v>356</v>
      </c>
      <c r="B357" s="1">
        <v>6</v>
      </c>
      <c r="C357" s="1">
        <v>5.5</v>
      </c>
      <c r="D357" s="1">
        <v>0</v>
      </c>
      <c r="E357" s="2">
        <v>2.34</v>
      </c>
      <c r="G357" s="1"/>
    </row>
    <row r="358" spans="1:9" x14ac:dyDescent="0.25">
      <c r="A358" t="s">
        <v>357</v>
      </c>
      <c r="B358" s="1">
        <v>10</v>
      </c>
      <c r="C358" s="1">
        <v>8</v>
      </c>
      <c r="D358" s="1">
        <v>3.4</v>
      </c>
      <c r="E358" s="2">
        <v>4.2119999999999997</v>
      </c>
      <c r="G358" s="1"/>
      <c r="H358" s="1"/>
      <c r="I358" s="1"/>
    </row>
    <row r="359" spans="1:9" x14ac:dyDescent="0.25">
      <c r="A359" t="s">
        <v>358</v>
      </c>
      <c r="B359" s="1">
        <v>2</v>
      </c>
      <c r="C359" s="1">
        <v>2</v>
      </c>
      <c r="D359" s="1">
        <v>0.9</v>
      </c>
      <c r="E359" s="2">
        <v>4.4461240000000002</v>
      </c>
    </row>
    <row r="360" spans="1:9" x14ac:dyDescent="0.25">
      <c r="A360" t="s">
        <v>359</v>
      </c>
      <c r="B360" s="1">
        <v>4</v>
      </c>
      <c r="C360" s="1">
        <v>3</v>
      </c>
      <c r="D360" s="1">
        <v>3.9</v>
      </c>
      <c r="E360" s="2">
        <v>16.700044999999999</v>
      </c>
    </row>
    <row r="361" spans="1:9" x14ac:dyDescent="0.25">
      <c r="A361" t="s">
        <v>360</v>
      </c>
      <c r="B361" s="1">
        <v>18</v>
      </c>
      <c r="C361" s="1">
        <v>7.5</v>
      </c>
      <c r="D361" s="1">
        <v>31.9</v>
      </c>
      <c r="E361" s="2">
        <v>20.955044000000001</v>
      </c>
    </row>
    <row r="362" spans="1:9" x14ac:dyDescent="0.25">
      <c r="A362" t="s">
        <v>361</v>
      </c>
      <c r="B362" s="1">
        <v>3</v>
      </c>
      <c r="C362" s="1">
        <v>9</v>
      </c>
      <c r="D362" s="1">
        <v>0</v>
      </c>
      <c r="E362" s="2">
        <v>1.0920000000000001</v>
      </c>
    </row>
    <row r="363" spans="1:9" x14ac:dyDescent="0.25">
      <c r="A363" t="s">
        <v>362</v>
      </c>
      <c r="B363" s="1">
        <v>11</v>
      </c>
      <c r="C363" s="1">
        <v>18.5</v>
      </c>
      <c r="D363" s="1">
        <v>9.1999999999999993</v>
      </c>
      <c r="E363" s="2">
        <v>9.571161</v>
      </c>
    </row>
    <row r="364" spans="1:9" x14ac:dyDescent="0.25">
      <c r="A364" t="s">
        <v>363</v>
      </c>
      <c r="B364" s="1">
        <v>20</v>
      </c>
      <c r="C364" s="1">
        <v>27</v>
      </c>
      <c r="D364" s="1">
        <v>16.5</v>
      </c>
      <c r="E364" s="2">
        <v>22.387160999999999</v>
      </c>
    </row>
    <row r="365" spans="1:9" x14ac:dyDescent="0.25">
      <c r="A365" t="s">
        <v>364</v>
      </c>
      <c r="B365" s="1">
        <v>31</v>
      </c>
      <c r="C365" s="1">
        <v>35.5</v>
      </c>
      <c r="D365" s="1">
        <v>31.3</v>
      </c>
      <c r="E365" s="2">
        <v>41.001797000000003</v>
      </c>
    </row>
    <row r="366" spans="1:9" x14ac:dyDescent="0.25">
      <c r="A366" t="s">
        <v>365</v>
      </c>
      <c r="B366" s="1">
        <v>1</v>
      </c>
      <c r="C366" s="1">
        <v>1</v>
      </c>
      <c r="D366" s="1">
        <v>0.5</v>
      </c>
      <c r="E366" s="2">
        <v>0.71299999999999997</v>
      </c>
    </row>
    <row r="367" spans="1:9" x14ac:dyDescent="0.25">
      <c r="A367" t="s">
        <v>366</v>
      </c>
      <c r="B367" s="1">
        <v>34</v>
      </c>
      <c r="C367" s="1">
        <v>17</v>
      </c>
      <c r="D367" s="1">
        <v>0.5</v>
      </c>
      <c r="E367" s="2">
        <v>2.7080000000000002</v>
      </c>
    </row>
    <row r="368" spans="1:9" x14ac:dyDescent="0.25">
      <c r="A368" t="s">
        <v>367</v>
      </c>
      <c r="B368" s="1">
        <v>0</v>
      </c>
      <c r="C368" s="1">
        <v>0.5</v>
      </c>
      <c r="D368" s="1">
        <v>0</v>
      </c>
      <c r="E368" s="2">
        <v>2.5142389999999999</v>
      </c>
    </row>
    <row r="369" spans="1:5" x14ac:dyDescent="0.25">
      <c r="A369" t="s">
        <v>368</v>
      </c>
      <c r="B369" s="1">
        <v>6</v>
      </c>
      <c r="C369" s="1">
        <v>4.5</v>
      </c>
      <c r="D369" s="1">
        <v>3.7</v>
      </c>
      <c r="E369" s="2">
        <v>14.725341</v>
      </c>
    </row>
    <row r="370" spans="1:5" x14ac:dyDescent="0.25">
      <c r="A370" t="s">
        <v>369</v>
      </c>
      <c r="B370" s="1">
        <v>10</v>
      </c>
      <c r="C370" s="1">
        <v>7</v>
      </c>
      <c r="D370" s="1">
        <v>9.5</v>
      </c>
      <c r="E370" s="2">
        <v>20.45834</v>
      </c>
    </row>
    <row r="371" spans="1:5" x14ac:dyDescent="0.25">
      <c r="A371" t="s">
        <v>370</v>
      </c>
      <c r="B371" s="1">
        <v>19</v>
      </c>
      <c r="C371" s="1">
        <v>35</v>
      </c>
      <c r="D371" s="1">
        <v>31.9</v>
      </c>
      <c r="E371" s="2">
        <v>40.485526999999998</v>
      </c>
    </row>
    <row r="372" spans="1:5" x14ac:dyDescent="0.25">
      <c r="A372" t="s">
        <v>371</v>
      </c>
      <c r="B372" s="1">
        <v>2</v>
      </c>
      <c r="C372" s="1">
        <v>3.5</v>
      </c>
      <c r="D372" s="1">
        <v>38.6</v>
      </c>
      <c r="E372" s="2">
        <v>2.9589639999999999</v>
      </c>
    </row>
    <row r="373" spans="1:5" x14ac:dyDescent="0.25">
      <c r="A373" t="s">
        <v>372</v>
      </c>
      <c r="B373" s="1">
        <v>14</v>
      </c>
      <c r="C373" s="1">
        <v>22</v>
      </c>
      <c r="D373" s="1">
        <v>12.1</v>
      </c>
      <c r="E373" s="2">
        <v>13.456699</v>
      </c>
    </row>
    <row r="374" spans="1:5" x14ac:dyDescent="0.25">
      <c r="A374" t="s">
        <v>373</v>
      </c>
      <c r="B374" s="1">
        <v>27</v>
      </c>
      <c r="C374" s="1">
        <v>24</v>
      </c>
      <c r="D374" s="1">
        <v>20.8</v>
      </c>
      <c r="E374" s="2">
        <v>15.522831999999999</v>
      </c>
    </row>
    <row r="375" spans="1:5" x14ac:dyDescent="0.25">
      <c r="A375" t="s">
        <v>374</v>
      </c>
      <c r="B375" s="1">
        <v>30</v>
      </c>
      <c r="C375" s="1">
        <v>26.5</v>
      </c>
      <c r="D375" s="1">
        <v>38.6</v>
      </c>
      <c r="E375" s="2">
        <v>17.726831000000001</v>
      </c>
    </row>
    <row r="376" spans="1:5" x14ac:dyDescent="0.25">
      <c r="A376" t="s">
        <v>375</v>
      </c>
      <c r="B376" s="1">
        <v>48</v>
      </c>
      <c r="C376" s="1">
        <v>28</v>
      </c>
      <c r="D376" s="1">
        <v>52.8</v>
      </c>
      <c r="E376" s="2">
        <v>44.726837000000003</v>
      </c>
    </row>
    <row r="377" spans="1:5" x14ac:dyDescent="0.25">
      <c r="A377" t="s">
        <v>376</v>
      </c>
      <c r="B377" s="1">
        <v>3</v>
      </c>
      <c r="C377" s="1">
        <v>2.5</v>
      </c>
      <c r="D377" s="1">
        <v>0.4</v>
      </c>
      <c r="E377" s="2">
        <v>2.1840000000000002</v>
      </c>
    </row>
    <row r="378" spans="1:5" x14ac:dyDescent="0.25">
      <c r="A378" t="s">
        <v>377</v>
      </c>
      <c r="B378" s="1">
        <v>4</v>
      </c>
      <c r="C378" s="1">
        <v>3.5</v>
      </c>
      <c r="D378" s="1">
        <v>3.7</v>
      </c>
      <c r="E378" s="2">
        <v>5.8212000000000002</v>
      </c>
    </row>
    <row r="379" spans="1:5" x14ac:dyDescent="0.25">
      <c r="A379" t="s">
        <v>378</v>
      </c>
      <c r="B379" s="1">
        <v>7</v>
      </c>
      <c r="C379" s="1">
        <v>5.2</v>
      </c>
      <c r="D379" s="1">
        <v>6.8</v>
      </c>
      <c r="E379" s="2">
        <v>9.8812010000000008</v>
      </c>
    </row>
    <row r="380" spans="1:5" x14ac:dyDescent="0.25">
      <c r="A380" t="s">
        <v>379</v>
      </c>
      <c r="B380" s="1">
        <v>18</v>
      </c>
      <c r="C380" s="1">
        <v>18.5</v>
      </c>
      <c r="D380" s="1">
        <v>19.5</v>
      </c>
      <c r="E380" s="2">
        <v>25.091196</v>
      </c>
    </row>
    <row r="381" spans="1:5" x14ac:dyDescent="0.25">
      <c r="A381" t="s">
        <v>380</v>
      </c>
      <c r="B381" s="1">
        <v>19</v>
      </c>
      <c r="C381" s="1">
        <v>19.8</v>
      </c>
      <c r="D381" s="1">
        <v>20.2</v>
      </c>
      <c r="E381" s="2">
        <v>25.091200000000001</v>
      </c>
    </row>
    <row r="382" spans="1:5" x14ac:dyDescent="0.25">
      <c r="A382" t="s">
        <v>381</v>
      </c>
      <c r="B382" s="1">
        <v>21</v>
      </c>
      <c r="C382" s="1">
        <v>22.3</v>
      </c>
      <c r="D382" s="1">
        <v>38.299999999999997</v>
      </c>
      <c r="E382" s="2">
        <v>26.414200000000001</v>
      </c>
    </row>
    <row r="383" spans="1:5" x14ac:dyDescent="0.25">
      <c r="A383" t="s">
        <v>382</v>
      </c>
      <c r="B383" s="1">
        <v>0</v>
      </c>
      <c r="C383" s="1">
        <v>0.1</v>
      </c>
      <c r="D383" s="1">
        <v>0.1</v>
      </c>
      <c r="E383" s="2">
        <v>0.112</v>
      </c>
    </row>
    <row r="384" spans="1:5" x14ac:dyDescent="0.25">
      <c r="A384" t="s">
        <v>383</v>
      </c>
      <c r="B384" s="1">
        <v>1</v>
      </c>
      <c r="C384" s="1">
        <v>0.8</v>
      </c>
      <c r="D384" s="1">
        <v>0.8</v>
      </c>
      <c r="E384" s="2">
        <v>0.749</v>
      </c>
    </row>
    <row r="385" spans="1:5" x14ac:dyDescent="0.25">
      <c r="A385" t="s">
        <v>384</v>
      </c>
      <c r="B385" s="1">
        <v>12</v>
      </c>
      <c r="C385" s="1">
        <v>1.2</v>
      </c>
      <c r="D385" s="1">
        <v>12.8</v>
      </c>
      <c r="E385" s="2">
        <v>17.256316999999999</v>
      </c>
    </row>
    <row r="386" spans="1:5" x14ac:dyDescent="0.25">
      <c r="A386" t="s">
        <v>385</v>
      </c>
      <c r="B386" s="1">
        <v>23</v>
      </c>
      <c r="C386" s="1">
        <v>7.5</v>
      </c>
      <c r="D386" s="1">
        <v>22</v>
      </c>
      <c r="E386" s="2">
        <v>35.736317</v>
      </c>
    </row>
    <row r="387" spans="1:5" x14ac:dyDescent="0.25">
      <c r="A387" t="s">
        <v>386</v>
      </c>
      <c r="B387" s="1">
        <v>30</v>
      </c>
      <c r="C387" s="1">
        <v>10.199999999999999</v>
      </c>
      <c r="D387" s="1">
        <v>31</v>
      </c>
      <c r="E387" s="2">
        <v>43.375960999999997</v>
      </c>
    </row>
    <row r="388" spans="1:5" x14ac:dyDescent="0.25">
      <c r="A388" t="s">
        <v>387</v>
      </c>
      <c r="B388" s="1">
        <v>37</v>
      </c>
      <c r="C388" s="1">
        <v>12.8</v>
      </c>
      <c r="D388" s="1">
        <v>38</v>
      </c>
      <c r="E388" s="2">
        <v>56.515960999999997</v>
      </c>
    </row>
    <row r="389" spans="1:5" x14ac:dyDescent="0.25">
      <c r="A389" t="s">
        <v>388</v>
      </c>
      <c r="B389" s="1">
        <v>2</v>
      </c>
      <c r="C389" s="1">
        <v>0.9</v>
      </c>
      <c r="D389" s="1">
        <v>1.5</v>
      </c>
      <c r="E389" s="2">
        <v>2.292192</v>
      </c>
    </row>
    <row r="390" spans="1:5" x14ac:dyDescent="0.25">
      <c r="A390" t="s">
        <v>389</v>
      </c>
      <c r="B390" s="1">
        <v>18</v>
      </c>
      <c r="C390" s="1">
        <v>2.1</v>
      </c>
      <c r="D390" s="1">
        <v>32</v>
      </c>
      <c r="E390" s="2">
        <v>12.058959</v>
      </c>
    </row>
    <row r="391" spans="1:5" x14ac:dyDescent="0.25">
      <c r="A391" t="s">
        <v>390</v>
      </c>
      <c r="B391" s="1">
        <v>3</v>
      </c>
      <c r="C391" s="1">
        <v>3.2</v>
      </c>
      <c r="D391" s="1">
        <v>3</v>
      </c>
      <c r="E391" s="2">
        <v>1.9224840000000001</v>
      </c>
    </row>
    <row r="392" spans="1:5" x14ac:dyDescent="0.25">
      <c r="A392" t="s">
        <v>391</v>
      </c>
      <c r="B392" s="1">
        <v>5</v>
      </c>
      <c r="C392" s="1">
        <v>4.5</v>
      </c>
      <c r="D392" s="1">
        <v>9.5</v>
      </c>
      <c r="E392" s="2">
        <v>4.2577379999999998</v>
      </c>
    </row>
    <row r="393" spans="1:5" x14ac:dyDescent="0.25">
      <c r="A393" t="s">
        <v>392</v>
      </c>
      <c r="B393" s="1">
        <v>9</v>
      </c>
      <c r="C393" s="1">
        <v>5.0999999999999996</v>
      </c>
      <c r="D393" s="1">
        <v>38</v>
      </c>
      <c r="E393" s="2">
        <v>16.317737999999999</v>
      </c>
    </row>
    <row r="394" spans="1:5" x14ac:dyDescent="0.25">
      <c r="A394" t="s">
        <v>393</v>
      </c>
      <c r="B394" s="1">
        <v>12</v>
      </c>
      <c r="C394" s="1">
        <v>5.3</v>
      </c>
      <c r="D394" s="1">
        <v>66.5</v>
      </c>
      <c r="E394" s="2">
        <v>29.187740000000002</v>
      </c>
    </row>
    <row r="395" spans="1:5" x14ac:dyDescent="0.25">
      <c r="A395" t="s">
        <v>394</v>
      </c>
      <c r="B395" s="1">
        <v>2</v>
      </c>
      <c r="C395" s="1">
        <v>1.8</v>
      </c>
      <c r="D395" s="1">
        <v>1.5</v>
      </c>
      <c r="E395" s="2">
        <v>3.51</v>
      </c>
    </row>
    <row r="396" spans="1:5" x14ac:dyDescent="0.25">
      <c r="A396" t="s">
        <v>395</v>
      </c>
      <c r="B396" s="1">
        <v>5</v>
      </c>
      <c r="C396" s="1">
        <v>4.2</v>
      </c>
      <c r="D396" s="1">
        <v>6.5</v>
      </c>
      <c r="E396" s="2">
        <v>9.01</v>
      </c>
    </row>
    <row r="397" spans="1:5" x14ac:dyDescent="0.25">
      <c r="A397" t="s">
        <v>396</v>
      </c>
      <c r="B397" s="1">
        <v>7</v>
      </c>
      <c r="C397" s="1">
        <v>5.7</v>
      </c>
      <c r="D397" s="1">
        <v>9.5</v>
      </c>
      <c r="E397" s="2">
        <v>12.25</v>
      </c>
    </row>
    <row r="398" spans="1:5" x14ac:dyDescent="0.25">
      <c r="A398" t="s">
        <v>397</v>
      </c>
      <c r="B398" s="1">
        <v>10</v>
      </c>
      <c r="C398" s="1">
        <v>6.8</v>
      </c>
      <c r="D398" s="1">
        <v>13.5</v>
      </c>
      <c r="E398" s="2">
        <v>14.785</v>
      </c>
    </row>
    <row r="399" spans="1:5" x14ac:dyDescent="0.25">
      <c r="A399" t="s">
        <v>398</v>
      </c>
      <c r="B399" s="1">
        <v>12</v>
      </c>
      <c r="C399" s="1">
        <v>8.3000000000000007</v>
      </c>
      <c r="D399" s="1">
        <v>14.5</v>
      </c>
      <c r="E399" s="2">
        <v>14.785000999999999</v>
      </c>
    </row>
    <row r="400" spans="1:5" x14ac:dyDescent="0.25">
      <c r="A400" t="s">
        <v>399</v>
      </c>
      <c r="B400" s="1">
        <v>22</v>
      </c>
      <c r="C400" s="1">
        <v>9.1</v>
      </c>
      <c r="D400" s="1">
        <v>31.5</v>
      </c>
      <c r="E400" s="2">
        <v>23.677</v>
      </c>
    </row>
    <row r="401" spans="1:5" x14ac:dyDescent="0.25">
      <c r="A401" t="s">
        <v>400</v>
      </c>
      <c r="B401" s="1">
        <v>54</v>
      </c>
      <c r="C401" s="1">
        <v>24.5</v>
      </c>
      <c r="D401" s="1">
        <v>62</v>
      </c>
      <c r="E401" s="2">
        <v>49.245002999999997</v>
      </c>
    </row>
    <row r="402" spans="1:5" x14ac:dyDescent="0.25">
      <c r="A402" t="s">
        <v>401</v>
      </c>
      <c r="B402" s="1">
        <v>58</v>
      </c>
      <c r="C402" s="1">
        <v>25.8</v>
      </c>
      <c r="D402" s="1">
        <v>68</v>
      </c>
      <c r="E402" s="2">
        <v>53.588000999999998</v>
      </c>
    </row>
    <row r="403" spans="1:5" x14ac:dyDescent="0.25">
      <c r="A403" t="s">
        <v>402</v>
      </c>
      <c r="B403" s="1">
        <v>2</v>
      </c>
      <c r="C403" s="1">
        <v>1.2</v>
      </c>
      <c r="D403" s="1">
        <v>3</v>
      </c>
      <c r="E403" s="2">
        <v>3.1114999999999999</v>
      </c>
    </row>
    <row r="404" spans="1:5" x14ac:dyDescent="0.25">
      <c r="A404" t="s">
        <v>403</v>
      </c>
      <c r="B404" s="1">
        <v>3</v>
      </c>
      <c r="C404" s="1">
        <v>1.5</v>
      </c>
      <c r="D404" s="1">
        <v>3</v>
      </c>
      <c r="E404" s="2">
        <v>9.0175509999999992</v>
      </c>
    </row>
    <row r="405" spans="1:5" x14ac:dyDescent="0.25">
      <c r="A405" t="s">
        <v>404</v>
      </c>
      <c r="B405" s="1">
        <v>10</v>
      </c>
      <c r="C405" s="1">
        <v>2.8</v>
      </c>
      <c r="D405" s="1">
        <v>34</v>
      </c>
      <c r="E405" s="2">
        <v>17.046597999999999</v>
      </c>
    </row>
    <row r="406" spans="1:5" x14ac:dyDescent="0.25">
      <c r="A406" t="s">
        <v>405</v>
      </c>
      <c r="B406" s="1">
        <v>12</v>
      </c>
      <c r="C406" s="1">
        <v>8.1999999999999993</v>
      </c>
      <c r="D406" s="1">
        <v>38</v>
      </c>
      <c r="E406" s="2">
        <v>11.725</v>
      </c>
    </row>
    <row r="407" spans="1:5" x14ac:dyDescent="0.25">
      <c r="A407" t="s">
        <v>406</v>
      </c>
      <c r="B407" s="1">
        <v>13</v>
      </c>
      <c r="C407" s="1">
        <v>8.5</v>
      </c>
      <c r="D407" s="1">
        <v>38</v>
      </c>
      <c r="E407" s="2">
        <v>13.950899</v>
      </c>
    </row>
    <row r="408" spans="1:5" x14ac:dyDescent="0.25">
      <c r="A408" t="s">
        <v>407</v>
      </c>
      <c r="B408" s="1">
        <v>18</v>
      </c>
      <c r="C408" s="1">
        <v>14.3</v>
      </c>
      <c r="D408" s="1">
        <v>41.5</v>
      </c>
      <c r="E408" s="2">
        <v>17.499898999999999</v>
      </c>
    </row>
    <row r="409" spans="1:5" x14ac:dyDescent="0.25">
      <c r="A409" t="s">
        <v>408</v>
      </c>
      <c r="B409" s="1">
        <v>31</v>
      </c>
      <c r="C409" s="1">
        <v>15.7</v>
      </c>
      <c r="D409" s="1">
        <v>52</v>
      </c>
      <c r="E409" s="2">
        <v>31.001899999999999</v>
      </c>
    </row>
    <row r="410" spans="1:5" x14ac:dyDescent="0.25">
      <c r="A410" t="s">
        <v>409</v>
      </c>
      <c r="B410" s="1">
        <v>5</v>
      </c>
      <c r="C410" s="1">
        <v>3.4</v>
      </c>
      <c r="D410" s="1">
        <v>3</v>
      </c>
      <c r="E410" s="2">
        <v>6.21075</v>
      </c>
    </row>
    <row r="411" spans="1:5" x14ac:dyDescent="0.25">
      <c r="A411" t="s">
        <v>410</v>
      </c>
      <c r="B411" s="1">
        <v>7</v>
      </c>
      <c r="C411" s="1">
        <v>3.7</v>
      </c>
      <c r="D411" s="1">
        <v>3</v>
      </c>
      <c r="E411" s="2">
        <v>8.9503559999999993</v>
      </c>
    </row>
    <row r="412" spans="1:5" x14ac:dyDescent="0.25">
      <c r="A412" t="s">
        <v>411</v>
      </c>
      <c r="B412" s="1">
        <v>11</v>
      </c>
      <c r="C412" s="1">
        <v>4.2</v>
      </c>
      <c r="D412" s="1">
        <v>6.5</v>
      </c>
      <c r="E412" s="2">
        <v>10.055078999999999</v>
      </c>
    </row>
    <row r="413" spans="1:5" x14ac:dyDescent="0.25">
      <c r="A413" t="s">
        <v>412</v>
      </c>
      <c r="B413" s="1">
        <v>44</v>
      </c>
      <c r="C413" s="1">
        <v>18.5</v>
      </c>
      <c r="D413" s="1">
        <v>38</v>
      </c>
      <c r="E413" s="2">
        <v>23.103624</v>
      </c>
    </row>
    <row r="414" spans="1:5" x14ac:dyDescent="0.25">
      <c r="A414" t="s">
        <v>413</v>
      </c>
      <c r="B414" s="1">
        <v>18</v>
      </c>
      <c r="C414" s="1">
        <v>6.8</v>
      </c>
      <c r="D414" s="1">
        <v>1</v>
      </c>
      <c r="E414" s="2">
        <v>2.1440000000000001</v>
      </c>
    </row>
    <row r="415" spans="1:5" x14ac:dyDescent="0.25">
      <c r="A415" t="s">
        <v>414</v>
      </c>
      <c r="B415" s="1">
        <v>24</v>
      </c>
      <c r="C415" s="1">
        <v>7.9</v>
      </c>
      <c r="D415" s="1">
        <v>31</v>
      </c>
      <c r="E415" s="2">
        <v>10.568151</v>
      </c>
    </row>
    <row r="416" spans="1:5" x14ac:dyDescent="0.25">
      <c r="A416" t="s">
        <v>415</v>
      </c>
      <c r="B416" s="1">
        <v>38</v>
      </c>
      <c r="C416" s="1">
        <v>11.2</v>
      </c>
      <c r="D416" s="1">
        <v>31</v>
      </c>
      <c r="E416" s="2">
        <v>33.928150000000002</v>
      </c>
    </row>
    <row r="417" spans="1:5" x14ac:dyDescent="0.25">
      <c r="A417" t="s">
        <v>416</v>
      </c>
      <c r="B417" s="1">
        <v>38</v>
      </c>
      <c r="C417" s="1">
        <v>11.5</v>
      </c>
      <c r="D417" s="1">
        <v>31</v>
      </c>
      <c r="E417" s="2">
        <v>34.236148999999997</v>
      </c>
    </row>
    <row r="418" spans="1:5" x14ac:dyDescent="0.25">
      <c r="A418" t="s">
        <v>417</v>
      </c>
      <c r="B418" s="1">
        <v>3</v>
      </c>
      <c r="C418" s="1">
        <v>1.1000000000000001</v>
      </c>
      <c r="D418" s="1">
        <v>0.5</v>
      </c>
      <c r="E418" s="2">
        <v>0.72</v>
      </c>
    </row>
    <row r="419" spans="1:5" x14ac:dyDescent="0.25">
      <c r="A419" t="s">
        <v>418</v>
      </c>
      <c r="B419" s="1">
        <v>4</v>
      </c>
      <c r="C419" s="1">
        <v>1.6</v>
      </c>
      <c r="D419" s="1">
        <v>0.5</v>
      </c>
      <c r="E419" s="2">
        <v>0.72</v>
      </c>
    </row>
    <row r="420" spans="1:5" x14ac:dyDescent="0.25">
      <c r="A420" t="s">
        <v>419</v>
      </c>
      <c r="B420" s="1">
        <v>8</v>
      </c>
      <c r="C420" s="1">
        <v>3.2</v>
      </c>
      <c r="D420" s="1">
        <v>0.7</v>
      </c>
      <c r="E420" s="2">
        <v>4.3600000000000003</v>
      </c>
    </row>
    <row r="421" spans="1:5" x14ac:dyDescent="0.25">
      <c r="A421" t="s">
        <v>420</v>
      </c>
      <c r="B421" s="1">
        <v>13</v>
      </c>
      <c r="C421" s="1">
        <v>5.8</v>
      </c>
      <c r="D421" s="1">
        <v>5.4</v>
      </c>
      <c r="E421" s="2">
        <v>9.06</v>
      </c>
    </row>
    <row r="422" spans="1:5" x14ac:dyDescent="0.25">
      <c r="A422" t="s">
        <v>421</v>
      </c>
      <c r="B422" s="1">
        <v>14</v>
      </c>
      <c r="C422" s="1">
        <v>6.4</v>
      </c>
      <c r="D422" s="1">
        <v>6.8</v>
      </c>
      <c r="E422" s="2">
        <v>9.06</v>
      </c>
    </row>
    <row r="423" spans="1:5" x14ac:dyDescent="0.25">
      <c r="A423" t="s">
        <v>422</v>
      </c>
      <c r="B423" s="1">
        <v>15</v>
      </c>
      <c r="C423" s="1">
        <v>6.7</v>
      </c>
      <c r="D423" s="1">
        <v>7.5</v>
      </c>
      <c r="E423" s="2">
        <v>9.06</v>
      </c>
    </row>
    <row r="424" spans="1:5" x14ac:dyDescent="0.25">
      <c r="A424" t="s">
        <v>423</v>
      </c>
      <c r="B424" s="1">
        <v>11</v>
      </c>
      <c r="C424" s="1">
        <v>4.2</v>
      </c>
      <c r="D424" s="1">
        <v>20</v>
      </c>
      <c r="E424" s="2">
        <v>17.549999</v>
      </c>
    </row>
    <row r="425" spans="1:5" x14ac:dyDescent="0.25">
      <c r="A425" t="s">
        <v>424</v>
      </c>
      <c r="B425" s="1">
        <v>27</v>
      </c>
      <c r="C425" s="1">
        <v>12.5</v>
      </c>
      <c r="D425" s="1">
        <v>38</v>
      </c>
      <c r="E425" s="2">
        <v>33.294998</v>
      </c>
    </row>
    <row r="426" spans="1:5" x14ac:dyDescent="0.25">
      <c r="A426" t="s">
        <v>425</v>
      </c>
      <c r="B426" s="1">
        <v>60</v>
      </c>
      <c r="C426" s="1">
        <v>35.200000000000003</v>
      </c>
      <c r="D426" s="1">
        <v>72</v>
      </c>
      <c r="E426" s="2">
        <v>67.945007000000004</v>
      </c>
    </row>
    <row r="427" spans="1:5" x14ac:dyDescent="0.25">
      <c r="A427" t="s">
        <v>426</v>
      </c>
      <c r="B427" s="1">
        <v>3</v>
      </c>
      <c r="C427" s="1">
        <v>1.4</v>
      </c>
      <c r="D427" s="1">
        <v>3.2</v>
      </c>
      <c r="E427" s="2">
        <v>3.6194999999999999</v>
      </c>
    </row>
    <row r="428" spans="1:5" x14ac:dyDescent="0.25">
      <c r="A428" t="s">
        <v>427</v>
      </c>
      <c r="B428" s="1">
        <v>5</v>
      </c>
      <c r="C428" s="1">
        <v>1.8</v>
      </c>
      <c r="D428" s="1">
        <v>3.8</v>
      </c>
      <c r="E428" s="2">
        <v>8.3220580000000002</v>
      </c>
    </row>
    <row r="429" spans="1:5" x14ac:dyDescent="0.25">
      <c r="A429" t="s">
        <v>428</v>
      </c>
      <c r="B429" s="1">
        <v>7</v>
      </c>
      <c r="C429" s="1">
        <v>2.6</v>
      </c>
      <c r="D429" s="1">
        <v>6.2</v>
      </c>
      <c r="E429" s="2">
        <v>10.737838999999999</v>
      </c>
    </row>
    <row r="430" spans="1:5" x14ac:dyDescent="0.25">
      <c r="A430" t="s">
        <v>429</v>
      </c>
      <c r="B430" s="1">
        <v>18</v>
      </c>
      <c r="C430" s="1">
        <v>6.5</v>
      </c>
      <c r="D430" s="1">
        <v>6.8</v>
      </c>
      <c r="E430" s="2">
        <v>6.1544030000000003</v>
      </c>
    </row>
    <row r="431" spans="1:5" x14ac:dyDescent="0.25">
      <c r="A431" t="s">
        <v>430</v>
      </c>
      <c r="B431" s="1">
        <v>24</v>
      </c>
      <c r="C431" s="1">
        <v>7.9</v>
      </c>
      <c r="D431" s="1">
        <v>11.5</v>
      </c>
      <c r="E431" s="2">
        <v>10.249402</v>
      </c>
    </row>
    <row r="432" spans="1:5" x14ac:dyDescent="0.25">
      <c r="A432" t="s">
        <v>431</v>
      </c>
      <c r="B432" s="1">
        <v>26</v>
      </c>
      <c r="C432" s="1">
        <v>8.6999999999999993</v>
      </c>
      <c r="D432" s="1">
        <v>12</v>
      </c>
      <c r="E432" s="2">
        <v>12.845701999999999</v>
      </c>
    </row>
    <row r="433" spans="1:5" x14ac:dyDescent="0.25">
      <c r="A433" t="s">
        <v>432</v>
      </c>
      <c r="B433" s="1">
        <v>30</v>
      </c>
      <c r="C433" s="1">
        <v>9.8000000000000007</v>
      </c>
      <c r="D433" s="1">
        <v>14.5</v>
      </c>
      <c r="E433" s="2">
        <v>19.73115</v>
      </c>
    </row>
    <row r="434" spans="1:5" x14ac:dyDescent="0.25">
      <c r="A434" t="s">
        <v>433</v>
      </c>
      <c r="B434" s="1">
        <v>4</v>
      </c>
      <c r="C434" s="1">
        <v>4.0999999999999996</v>
      </c>
      <c r="D434" s="1">
        <v>6.5</v>
      </c>
      <c r="E434" s="2">
        <v>4.5928380000000004</v>
      </c>
    </row>
    <row r="435" spans="1:5" x14ac:dyDescent="0.25">
      <c r="A435" t="s">
        <v>434</v>
      </c>
      <c r="B435" s="1">
        <v>7</v>
      </c>
      <c r="C435" s="1">
        <v>4.5999999999999996</v>
      </c>
      <c r="D435" s="1">
        <v>8</v>
      </c>
      <c r="E435" s="2">
        <v>7.6200609999999998</v>
      </c>
    </row>
    <row r="436" spans="1:5" x14ac:dyDescent="0.25">
      <c r="A436" t="s">
        <v>435</v>
      </c>
      <c r="B436" s="1">
        <v>12</v>
      </c>
      <c r="C436" s="1">
        <v>5.3</v>
      </c>
      <c r="D436" s="1">
        <v>11.5</v>
      </c>
      <c r="E436" s="2">
        <v>9.4628110000000003</v>
      </c>
    </row>
    <row r="437" spans="1:5" x14ac:dyDescent="0.25">
      <c r="A437" t="s">
        <v>436</v>
      </c>
      <c r="B437" s="1">
        <v>15</v>
      </c>
      <c r="C437" s="1">
        <v>6.2</v>
      </c>
      <c r="D437" s="1">
        <v>14.5</v>
      </c>
      <c r="E437" s="2">
        <v>11.596747000000001</v>
      </c>
    </row>
    <row r="438" spans="1:5" x14ac:dyDescent="0.25">
      <c r="A438" t="s">
        <v>437</v>
      </c>
      <c r="B438" s="1">
        <v>1</v>
      </c>
      <c r="C438" s="1">
        <v>0.2</v>
      </c>
      <c r="D438" s="1">
        <v>0.5</v>
      </c>
      <c r="E438" s="2">
        <v>1.19</v>
      </c>
    </row>
    <row r="439" spans="1:5" x14ac:dyDescent="0.25">
      <c r="A439" t="s">
        <v>438</v>
      </c>
      <c r="B439" s="1">
        <v>16</v>
      </c>
      <c r="C439" s="1">
        <v>2.4</v>
      </c>
      <c r="D439" s="1">
        <v>3.5</v>
      </c>
      <c r="E439" s="2">
        <v>5.48</v>
      </c>
    </row>
    <row r="440" spans="1:5" x14ac:dyDescent="0.25">
      <c r="A440" t="s">
        <v>439</v>
      </c>
      <c r="B440" s="1">
        <v>4</v>
      </c>
      <c r="C440" s="1">
        <v>2.8</v>
      </c>
      <c r="D440" s="1">
        <v>3</v>
      </c>
      <c r="E440" s="2">
        <v>6.9544819999999996</v>
      </c>
    </row>
    <row r="441" spans="1:5" x14ac:dyDescent="0.25">
      <c r="A441" t="s">
        <v>440</v>
      </c>
      <c r="B441" s="1">
        <v>14</v>
      </c>
      <c r="C441" s="1">
        <v>3.5</v>
      </c>
      <c r="D441" s="1">
        <v>5</v>
      </c>
      <c r="E441" s="2">
        <v>9.9261099999999995</v>
      </c>
    </row>
    <row r="442" spans="1:5" x14ac:dyDescent="0.25">
      <c r="A442" t="s">
        <v>441</v>
      </c>
      <c r="B442" s="1">
        <v>18</v>
      </c>
      <c r="C442" s="1">
        <v>8.5</v>
      </c>
      <c r="D442" s="1">
        <v>9.5</v>
      </c>
      <c r="E442" s="2">
        <v>21.424391</v>
      </c>
    </row>
    <row r="443" spans="1:5" x14ac:dyDescent="0.25">
      <c r="A443" t="s">
        <v>442</v>
      </c>
      <c r="B443" s="1">
        <v>22</v>
      </c>
      <c r="C443" s="1">
        <v>14.2</v>
      </c>
      <c r="D443" s="1">
        <v>11.5</v>
      </c>
      <c r="E443" s="2">
        <v>25.365390999999999</v>
      </c>
    </row>
    <row r="444" spans="1:5" x14ac:dyDescent="0.25">
      <c r="A444" t="s">
        <v>443</v>
      </c>
      <c r="B444" s="1">
        <v>27</v>
      </c>
      <c r="C444" s="1">
        <v>16.8</v>
      </c>
      <c r="D444" s="1">
        <v>18.5</v>
      </c>
      <c r="E444" s="2">
        <v>34.209389000000002</v>
      </c>
    </row>
    <row r="445" spans="1:5" x14ac:dyDescent="0.25">
      <c r="A445" t="s">
        <v>444</v>
      </c>
      <c r="B445" s="1">
        <v>2</v>
      </c>
      <c r="C445" s="1">
        <v>1.2</v>
      </c>
      <c r="D445" s="1">
        <v>0</v>
      </c>
      <c r="E445" s="2">
        <v>0</v>
      </c>
    </row>
    <row r="446" spans="1:5" x14ac:dyDescent="0.25">
      <c r="A446" t="s">
        <v>445</v>
      </c>
      <c r="B446" s="1">
        <v>5</v>
      </c>
      <c r="C446" s="1">
        <v>2.2999999999999998</v>
      </c>
      <c r="D446" s="1">
        <v>3</v>
      </c>
      <c r="E446" s="2">
        <v>1.4039999999999999</v>
      </c>
    </row>
    <row r="447" spans="1:5" x14ac:dyDescent="0.25">
      <c r="A447" t="s">
        <v>446</v>
      </c>
      <c r="B447" s="1">
        <v>52</v>
      </c>
      <c r="C447" s="1">
        <v>9.5</v>
      </c>
      <c r="D447" s="1">
        <v>62</v>
      </c>
      <c r="E447" s="2">
        <v>78.293998999999999</v>
      </c>
    </row>
    <row r="448" spans="1:5" x14ac:dyDescent="0.25">
      <c r="A448" t="s">
        <v>447</v>
      </c>
      <c r="B448" s="1">
        <v>59</v>
      </c>
      <c r="C448" s="1">
        <v>12.1</v>
      </c>
      <c r="D448" s="1">
        <v>72</v>
      </c>
      <c r="E448" s="2">
        <v>85.054001</v>
      </c>
    </row>
    <row r="449" spans="1:5" x14ac:dyDescent="0.25">
      <c r="A449" t="s">
        <v>448</v>
      </c>
      <c r="B449" s="1">
        <v>60</v>
      </c>
      <c r="C449" s="1">
        <v>13.2</v>
      </c>
      <c r="D449" s="1">
        <v>73</v>
      </c>
      <c r="E449" s="2">
        <v>85.809997999999993</v>
      </c>
    </row>
    <row r="450" spans="1:5" x14ac:dyDescent="0.25">
      <c r="A450" t="s">
        <v>449</v>
      </c>
      <c r="B450" s="1">
        <v>14</v>
      </c>
      <c r="C450" s="1">
        <v>3.6</v>
      </c>
      <c r="D450" s="1">
        <v>9.5</v>
      </c>
      <c r="E450" s="2">
        <v>17.941745999999998</v>
      </c>
    </row>
    <row r="451" spans="1:5" x14ac:dyDescent="0.25">
      <c r="A451" t="s">
        <v>450</v>
      </c>
      <c r="B451" s="1">
        <v>34</v>
      </c>
      <c r="C451" s="1">
        <v>7.2</v>
      </c>
      <c r="D451" s="1">
        <v>31.5</v>
      </c>
      <c r="E451" s="2">
        <v>46.021748000000002</v>
      </c>
    </row>
    <row r="452" spans="1:5" x14ac:dyDescent="0.25">
      <c r="A452" t="s">
        <v>451</v>
      </c>
      <c r="B452" s="1">
        <v>46</v>
      </c>
      <c r="C452" s="1">
        <v>65</v>
      </c>
      <c r="D452" s="1">
        <v>38</v>
      </c>
      <c r="E452" s="2">
        <v>53.343304000000003</v>
      </c>
    </row>
    <row r="453" spans="1:5" x14ac:dyDescent="0.25">
      <c r="A453" t="s">
        <v>452</v>
      </c>
      <c r="B453" s="1">
        <v>50</v>
      </c>
      <c r="C453" s="1">
        <v>58</v>
      </c>
      <c r="D453" s="1">
        <v>39.5</v>
      </c>
      <c r="E453" s="2">
        <v>57.062336000000002</v>
      </c>
    </row>
    <row r="454" spans="1:5" x14ac:dyDescent="0.25">
      <c r="A454" t="s">
        <v>453</v>
      </c>
      <c r="B454" s="1">
        <v>6</v>
      </c>
      <c r="C454" s="1">
        <v>12</v>
      </c>
      <c r="D454" s="1">
        <v>3</v>
      </c>
      <c r="E454" s="2">
        <v>2.9000970000000001</v>
      </c>
    </row>
    <row r="455" spans="1:5" x14ac:dyDescent="0.25">
      <c r="A455" t="s">
        <v>454</v>
      </c>
      <c r="B455" s="1">
        <v>32</v>
      </c>
      <c r="C455" s="1">
        <v>48</v>
      </c>
      <c r="D455" s="1">
        <v>6.5</v>
      </c>
      <c r="E455" s="2">
        <v>26.891999999999999</v>
      </c>
    </row>
    <row r="456" spans="1:5" x14ac:dyDescent="0.25">
      <c r="A456" t="s">
        <v>455</v>
      </c>
      <c r="B456" s="1">
        <v>36</v>
      </c>
      <c r="C456" s="1">
        <v>48</v>
      </c>
      <c r="D456" s="1">
        <v>7</v>
      </c>
      <c r="E456" s="2">
        <v>54.281998000000002</v>
      </c>
    </row>
    <row r="457" spans="1:5" x14ac:dyDescent="0.25">
      <c r="A457" t="s">
        <v>456</v>
      </c>
      <c r="B457" s="1">
        <v>4</v>
      </c>
      <c r="C457" s="1">
        <v>8</v>
      </c>
      <c r="D457" s="1">
        <v>2.5</v>
      </c>
      <c r="E457" s="2">
        <v>3.8246250000000002</v>
      </c>
    </row>
    <row r="458" spans="1:5" x14ac:dyDescent="0.25">
      <c r="A458" t="s">
        <v>457</v>
      </c>
      <c r="B458" s="1">
        <v>6</v>
      </c>
      <c r="C458" s="1">
        <v>15</v>
      </c>
      <c r="D458" s="1">
        <v>6.5</v>
      </c>
      <c r="E458" s="2">
        <v>15.924625000000001</v>
      </c>
    </row>
    <row r="459" spans="1:5" x14ac:dyDescent="0.25">
      <c r="A459" t="s">
        <v>458</v>
      </c>
      <c r="B459" s="1">
        <v>10</v>
      </c>
      <c r="C459" s="1">
        <v>18</v>
      </c>
      <c r="D459" s="1">
        <v>12</v>
      </c>
      <c r="E459" s="2">
        <v>33.146801000000004</v>
      </c>
    </row>
    <row r="460" spans="1:5" x14ac:dyDescent="0.25">
      <c r="A460" t="s">
        <v>459</v>
      </c>
      <c r="B460" s="1">
        <v>18</v>
      </c>
      <c r="C460" s="1">
        <v>18</v>
      </c>
      <c r="D460" s="1">
        <v>14.5</v>
      </c>
      <c r="E460" s="2">
        <v>34.292434999999998</v>
      </c>
    </row>
    <row r="461" spans="1:5" x14ac:dyDescent="0.25">
      <c r="A461" t="s">
        <v>460</v>
      </c>
      <c r="B461" s="1">
        <v>40</v>
      </c>
      <c r="C461" s="1">
        <v>32</v>
      </c>
      <c r="D461" s="1">
        <v>38</v>
      </c>
      <c r="E461" s="2">
        <v>60.718184999999998</v>
      </c>
    </row>
    <row r="462" spans="1:5" x14ac:dyDescent="0.25">
      <c r="A462" t="s">
        <v>461</v>
      </c>
      <c r="B462" s="1">
        <v>8</v>
      </c>
      <c r="C462" s="1">
        <v>8</v>
      </c>
      <c r="D462" s="1">
        <v>6</v>
      </c>
      <c r="E462" s="2">
        <v>8.0905850000000008</v>
      </c>
    </row>
    <row r="463" spans="1:5" x14ac:dyDescent="0.25">
      <c r="A463" t="s">
        <v>462</v>
      </c>
      <c r="B463" s="1">
        <v>14</v>
      </c>
      <c r="C463" s="1">
        <v>22</v>
      </c>
      <c r="D463" s="1">
        <v>11.5</v>
      </c>
      <c r="E463" s="2">
        <v>16.010584000000001</v>
      </c>
    </row>
    <row r="464" spans="1:5" x14ac:dyDescent="0.25">
      <c r="A464" t="s">
        <v>463</v>
      </c>
      <c r="B464" s="1">
        <v>19</v>
      </c>
      <c r="C464" s="1">
        <v>26</v>
      </c>
      <c r="D464" s="1">
        <v>16</v>
      </c>
      <c r="E464" s="2">
        <v>22.501673</v>
      </c>
    </row>
    <row r="465" spans="1:5" x14ac:dyDescent="0.25">
      <c r="A465" t="s">
        <v>464</v>
      </c>
      <c r="B465" s="1">
        <v>8</v>
      </c>
      <c r="C465" s="1">
        <v>5</v>
      </c>
      <c r="D465" s="1">
        <v>5</v>
      </c>
      <c r="E465" s="2">
        <v>2.3180000000000001</v>
      </c>
    </row>
    <row r="466" spans="1:5" x14ac:dyDescent="0.25">
      <c r="A466" t="s">
        <v>465</v>
      </c>
      <c r="B466" s="1">
        <v>20</v>
      </c>
      <c r="C466" s="1">
        <v>8</v>
      </c>
      <c r="D466" s="1">
        <v>11.5</v>
      </c>
      <c r="E466" s="2">
        <v>13.400992</v>
      </c>
    </row>
    <row r="467" spans="1:5" x14ac:dyDescent="0.25">
      <c r="A467" t="s">
        <v>466</v>
      </c>
      <c r="B467" s="1">
        <v>36</v>
      </c>
      <c r="C467" s="1">
        <v>18</v>
      </c>
      <c r="D467" s="1">
        <v>32.5</v>
      </c>
      <c r="E467" s="2">
        <v>57.950996000000004</v>
      </c>
    </row>
    <row r="468" spans="1:5" x14ac:dyDescent="0.25">
      <c r="A468" t="s">
        <v>467</v>
      </c>
      <c r="B468" s="1">
        <v>40</v>
      </c>
      <c r="C468" s="1">
        <v>20</v>
      </c>
      <c r="D468" s="1">
        <v>35</v>
      </c>
      <c r="E468" s="2">
        <v>63.927059</v>
      </c>
    </row>
    <row r="469" spans="1:5" x14ac:dyDescent="0.25">
      <c r="A469" t="s">
        <v>468</v>
      </c>
      <c r="B469" s="1">
        <v>16</v>
      </c>
      <c r="C469" s="1">
        <v>28</v>
      </c>
      <c r="D469" s="1">
        <v>9.5</v>
      </c>
      <c r="E469" s="2">
        <v>18.849997999999999</v>
      </c>
    </row>
    <row r="470" spans="1:5" x14ac:dyDescent="0.25">
      <c r="A470" t="s">
        <v>469</v>
      </c>
      <c r="B470" s="1">
        <v>24</v>
      </c>
      <c r="C470" s="1">
        <v>32</v>
      </c>
      <c r="D470" s="1">
        <v>16.5</v>
      </c>
      <c r="E470" s="2">
        <v>29.413997999999999</v>
      </c>
    </row>
    <row r="471" spans="1:5" x14ac:dyDescent="0.25">
      <c r="A471" t="s">
        <v>470</v>
      </c>
      <c r="B471" s="1">
        <v>31</v>
      </c>
      <c r="C471" s="1">
        <v>38</v>
      </c>
      <c r="D471" s="1">
        <v>23.5</v>
      </c>
      <c r="E471" s="2">
        <v>48.033999999999999</v>
      </c>
    </row>
    <row r="472" spans="1:5" x14ac:dyDescent="0.25">
      <c r="A472" t="s">
        <v>471</v>
      </c>
      <c r="B472" s="1">
        <v>34</v>
      </c>
      <c r="C472" s="1">
        <v>42</v>
      </c>
      <c r="D472" s="1">
        <v>25</v>
      </c>
      <c r="E472" s="2">
        <v>49.073996999999999</v>
      </c>
    </row>
    <row r="473" spans="1:5" x14ac:dyDescent="0.25">
      <c r="A473" t="s">
        <v>472</v>
      </c>
      <c r="B473" s="1">
        <v>42</v>
      </c>
      <c r="C473" s="1">
        <v>45</v>
      </c>
      <c r="D473" s="1">
        <v>26.5</v>
      </c>
      <c r="E473" s="2">
        <v>62.420344999999998</v>
      </c>
    </row>
    <row r="474" spans="1:5" x14ac:dyDescent="0.25">
      <c r="A474" t="s">
        <v>473</v>
      </c>
      <c r="B474" s="1">
        <v>4</v>
      </c>
      <c r="C474" s="1">
        <v>20</v>
      </c>
      <c r="D474" s="1">
        <v>30.5</v>
      </c>
      <c r="E474" s="2">
        <v>4.2210000000000001</v>
      </c>
    </row>
    <row r="475" spans="1:5" x14ac:dyDescent="0.25">
      <c r="A475" t="s">
        <v>474</v>
      </c>
      <c r="B475" s="1">
        <v>9</v>
      </c>
      <c r="C475" s="1">
        <v>8</v>
      </c>
      <c r="D475" s="1">
        <v>38</v>
      </c>
      <c r="E475" s="2">
        <v>12.821001000000001</v>
      </c>
    </row>
    <row r="476" spans="1:5" x14ac:dyDescent="0.25">
      <c r="A476" t="s">
        <v>475</v>
      </c>
      <c r="B476" s="1">
        <v>13</v>
      </c>
      <c r="C476" s="1">
        <v>12</v>
      </c>
      <c r="D476" s="1">
        <v>41.5</v>
      </c>
      <c r="E476" s="2">
        <v>16.214001</v>
      </c>
    </row>
    <row r="477" spans="1:5" x14ac:dyDescent="0.25">
      <c r="A477" t="s">
        <v>476</v>
      </c>
      <c r="B477" s="1">
        <v>17</v>
      </c>
      <c r="C477" s="1">
        <v>16</v>
      </c>
      <c r="D477" s="1">
        <v>43.5</v>
      </c>
      <c r="E477" s="2">
        <v>20.533999999999999</v>
      </c>
    </row>
    <row r="478" spans="1:5" x14ac:dyDescent="0.25">
      <c r="A478" t="s">
        <v>477</v>
      </c>
      <c r="B478" s="1">
        <v>19</v>
      </c>
      <c r="C478" s="1">
        <v>22</v>
      </c>
      <c r="D478" s="1">
        <v>48</v>
      </c>
      <c r="E478" s="2">
        <v>20.533999999999999</v>
      </c>
    </row>
    <row r="479" spans="1:5" x14ac:dyDescent="0.25">
      <c r="A479" t="s">
        <v>478</v>
      </c>
      <c r="B479" s="1">
        <v>22</v>
      </c>
      <c r="C479" s="1">
        <v>24</v>
      </c>
      <c r="D479" s="1">
        <v>52</v>
      </c>
      <c r="E479" s="2">
        <v>25.780000999999999</v>
      </c>
    </row>
    <row r="480" spans="1:5" x14ac:dyDescent="0.25">
      <c r="A480" t="s">
        <v>479</v>
      </c>
      <c r="B480" s="1">
        <v>6</v>
      </c>
      <c r="C480" s="1">
        <v>6</v>
      </c>
      <c r="D480" s="1">
        <v>6.5</v>
      </c>
      <c r="E480" s="2">
        <v>4.1407350000000003</v>
      </c>
    </row>
    <row r="481" spans="1:5" x14ac:dyDescent="0.25">
      <c r="A481" t="s">
        <v>480</v>
      </c>
      <c r="B481" s="1">
        <v>10</v>
      </c>
      <c r="C481" s="1">
        <v>10</v>
      </c>
      <c r="D481" s="1">
        <v>11.5</v>
      </c>
      <c r="E481" s="2">
        <v>9.0525459999999995</v>
      </c>
    </row>
    <row r="482" spans="1:5" x14ac:dyDescent="0.25">
      <c r="A482" t="s">
        <v>481</v>
      </c>
      <c r="B482" s="1">
        <v>24</v>
      </c>
      <c r="C482" s="1">
        <v>28</v>
      </c>
      <c r="D482" s="1">
        <v>30</v>
      </c>
      <c r="E482" s="2">
        <v>28.475000000000001</v>
      </c>
    </row>
    <row r="483" spans="1:5" x14ac:dyDescent="0.25">
      <c r="A483" t="s">
        <v>482</v>
      </c>
      <c r="B483" s="1">
        <v>30</v>
      </c>
      <c r="C483" s="1">
        <v>32</v>
      </c>
      <c r="D483" s="1">
        <v>48</v>
      </c>
      <c r="E483" s="2">
        <v>34.366000999999997</v>
      </c>
    </row>
    <row r="484" spans="1:5" x14ac:dyDescent="0.25">
      <c r="A484" t="s">
        <v>483</v>
      </c>
      <c r="B484" s="1">
        <v>37</v>
      </c>
      <c r="C484" s="1">
        <v>35</v>
      </c>
      <c r="D484" s="1">
        <v>52</v>
      </c>
      <c r="E484" s="2">
        <v>36.141609000000003</v>
      </c>
    </row>
    <row r="485" spans="1:5" x14ac:dyDescent="0.25">
      <c r="A485" t="s">
        <v>484</v>
      </c>
      <c r="B485" s="1">
        <v>38</v>
      </c>
      <c r="C485" s="1">
        <v>36</v>
      </c>
      <c r="D485" s="1">
        <v>53.5</v>
      </c>
      <c r="E485" s="2">
        <v>45.332053999999999</v>
      </c>
    </row>
    <row r="486" spans="1:5" x14ac:dyDescent="0.25">
      <c r="A486" t="s">
        <v>485</v>
      </c>
      <c r="B486" s="1">
        <v>41</v>
      </c>
      <c r="C486" s="1">
        <v>36</v>
      </c>
      <c r="D486" s="1">
        <v>55</v>
      </c>
      <c r="E486" s="2">
        <v>46.817013000000003</v>
      </c>
    </row>
    <row r="487" spans="1:5" x14ac:dyDescent="0.25">
      <c r="A487" t="s">
        <v>486</v>
      </c>
      <c r="B487" s="1">
        <v>6</v>
      </c>
      <c r="C487" s="1">
        <v>32</v>
      </c>
      <c r="D487" s="1">
        <v>3</v>
      </c>
      <c r="E487" s="2">
        <v>3.99</v>
      </c>
    </row>
    <row r="488" spans="1:5" x14ac:dyDescent="0.25">
      <c r="A488" t="s">
        <v>487</v>
      </c>
      <c r="B488" s="1">
        <v>20</v>
      </c>
      <c r="C488" s="1">
        <v>40</v>
      </c>
      <c r="D488" s="1">
        <v>6.5</v>
      </c>
      <c r="E488" s="2">
        <v>32.087563000000003</v>
      </c>
    </row>
    <row r="489" spans="1:5" x14ac:dyDescent="0.25">
      <c r="A489" t="s">
        <v>488</v>
      </c>
      <c r="B489" s="1">
        <v>24</v>
      </c>
      <c r="C489" s="1">
        <v>44</v>
      </c>
      <c r="D489" s="1">
        <v>9.5</v>
      </c>
      <c r="E489" s="2">
        <v>41.393566</v>
      </c>
    </row>
    <row r="490" spans="1:5" x14ac:dyDescent="0.25">
      <c r="A490" t="s">
        <v>489</v>
      </c>
      <c r="B490" s="1">
        <v>4</v>
      </c>
      <c r="C490" s="1">
        <v>12</v>
      </c>
      <c r="D490" s="1">
        <v>6.5</v>
      </c>
      <c r="E490" s="2">
        <v>3.36</v>
      </c>
    </row>
    <row r="491" spans="1:5" x14ac:dyDescent="0.25">
      <c r="A491" t="s">
        <v>490</v>
      </c>
      <c r="B491" s="1">
        <v>7</v>
      </c>
      <c r="C491" s="1">
        <v>18</v>
      </c>
      <c r="D491" s="1">
        <v>12</v>
      </c>
      <c r="E491" s="2">
        <v>9.66</v>
      </c>
    </row>
    <row r="492" spans="1:5" x14ac:dyDescent="0.25">
      <c r="A492" t="s">
        <v>491</v>
      </c>
      <c r="B492" s="1">
        <v>9</v>
      </c>
      <c r="C492" s="1">
        <v>22</v>
      </c>
      <c r="D492" s="1">
        <v>13.5</v>
      </c>
      <c r="E492" s="2">
        <v>11.94</v>
      </c>
    </row>
    <row r="493" spans="1:5" x14ac:dyDescent="0.25">
      <c r="A493" t="s">
        <v>492</v>
      </c>
      <c r="B493" s="1">
        <v>14</v>
      </c>
      <c r="C493" s="1">
        <v>61</v>
      </c>
      <c r="D493" s="1">
        <v>14.5</v>
      </c>
      <c r="E493" s="2">
        <v>17.920000000000002</v>
      </c>
    </row>
    <row r="494" spans="1:5" x14ac:dyDescent="0.25">
      <c r="A494" t="s">
        <v>493</v>
      </c>
      <c r="B494" s="1">
        <v>22</v>
      </c>
      <c r="C494" s="1">
        <v>68</v>
      </c>
      <c r="D494" s="1">
        <v>20.5</v>
      </c>
      <c r="E494" s="2">
        <v>24.835999999999999</v>
      </c>
    </row>
    <row r="495" spans="1:5" x14ac:dyDescent="0.25">
      <c r="A495" t="s">
        <v>494</v>
      </c>
      <c r="B495" s="1">
        <v>6</v>
      </c>
      <c r="C495" s="1">
        <v>12</v>
      </c>
      <c r="D495" s="1">
        <v>38</v>
      </c>
      <c r="E495" s="2">
        <v>11.980703</v>
      </c>
    </row>
    <row r="496" spans="1:5" x14ac:dyDescent="0.25">
      <c r="A496" t="s">
        <v>495</v>
      </c>
      <c r="B496" s="1">
        <v>8</v>
      </c>
      <c r="C496" s="1">
        <v>18</v>
      </c>
      <c r="D496" s="1">
        <v>6.5</v>
      </c>
      <c r="E496" s="2">
        <v>7.56</v>
      </c>
    </row>
    <row r="497" spans="1:5" x14ac:dyDescent="0.25">
      <c r="A497" t="s">
        <v>496</v>
      </c>
      <c r="B497" s="1">
        <v>13</v>
      </c>
      <c r="C497" s="1">
        <v>24</v>
      </c>
      <c r="D497" s="1">
        <v>12.5</v>
      </c>
      <c r="E497" s="2">
        <v>13.02</v>
      </c>
    </row>
    <row r="498" spans="1:5" x14ac:dyDescent="0.25">
      <c r="A498" t="s">
        <v>497</v>
      </c>
      <c r="B498" s="1">
        <v>15</v>
      </c>
      <c r="C498" s="1">
        <v>20</v>
      </c>
      <c r="D498" s="1">
        <v>13.5</v>
      </c>
      <c r="E498" s="2">
        <v>14.615491</v>
      </c>
    </row>
    <row r="499" spans="1:5" x14ac:dyDescent="0.25">
      <c r="A499" t="s">
        <v>498</v>
      </c>
      <c r="B499" s="1">
        <v>22</v>
      </c>
      <c r="C499" s="1">
        <v>26</v>
      </c>
      <c r="D499" s="1">
        <v>26.5</v>
      </c>
      <c r="E499" s="2">
        <v>21.464272999999999</v>
      </c>
    </row>
    <row r="500" spans="1:5" x14ac:dyDescent="0.25">
      <c r="A500" t="s">
        <v>499</v>
      </c>
      <c r="B500" s="1">
        <v>24</v>
      </c>
      <c r="C500" s="1">
        <v>28</v>
      </c>
      <c r="D500" s="1">
        <v>38.5</v>
      </c>
      <c r="E500" s="2">
        <v>32.629897999999997</v>
      </c>
    </row>
    <row r="501" spans="1:5" x14ac:dyDescent="0.25">
      <c r="A501" t="s">
        <v>500</v>
      </c>
      <c r="B501" s="1">
        <v>1</v>
      </c>
      <c r="C501" s="1">
        <v>32</v>
      </c>
      <c r="D501" s="1">
        <v>3</v>
      </c>
      <c r="E501" s="2">
        <v>2.5419999999999998</v>
      </c>
    </row>
    <row r="502" spans="1:5" x14ac:dyDescent="0.25">
      <c r="A502" t="s">
        <v>501</v>
      </c>
      <c r="B502" s="1">
        <v>4</v>
      </c>
      <c r="C502" s="1">
        <v>5</v>
      </c>
      <c r="D502" s="1">
        <v>6.5</v>
      </c>
      <c r="E502" s="2">
        <v>4.8972490000000004</v>
      </c>
    </row>
    <row r="503" spans="1:5" x14ac:dyDescent="0.25">
      <c r="A503" t="s">
        <v>502</v>
      </c>
      <c r="B503" s="1">
        <v>7</v>
      </c>
      <c r="C503" s="1">
        <v>15</v>
      </c>
      <c r="D503" s="1">
        <v>38</v>
      </c>
      <c r="E503" s="2">
        <v>9.31325</v>
      </c>
    </row>
    <row r="504" spans="1:5" x14ac:dyDescent="0.25">
      <c r="A504" t="s">
        <v>503</v>
      </c>
      <c r="B504" s="1">
        <v>9</v>
      </c>
      <c r="C504" s="1">
        <v>45</v>
      </c>
      <c r="D504" s="1">
        <v>6.5</v>
      </c>
      <c r="E504" s="2">
        <v>20.975999999999999</v>
      </c>
    </row>
    <row r="505" spans="1:5" x14ac:dyDescent="0.25">
      <c r="A505" t="s">
        <v>504</v>
      </c>
      <c r="B505" s="1">
        <v>20</v>
      </c>
      <c r="C505" s="1">
        <v>52</v>
      </c>
      <c r="D505" s="1">
        <v>38</v>
      </c>
      <c r="E505" s="2">
        <v>24.832965999999999</v>
      </c>
    </row>
    <row r="506" spans="1:5" x14ac:dyDescent="0.25">
      <c r="A506" t="s">
        <v>505</v>
      </c>
      <c r="B506" s="1">
        <v>27</v>
      </c>
      <c r="C506" s="1">
        <v>58</v>
      </c>
      <c r="D506" s="1">
        <v>41.5</v>
      </c>
      <c r="E506" s="2">
        <v>32.332965999999999</v>
      </c>
    </row>
    <row r="507" spans="1:5" x14ac:dyDescent="0.25">
      <c r="A507" t="s">
        <v>506</v>
      </c>
      <c r="B507" s="1">
        <v>29</v>
      </c>
      <c r="C507" s="1">
        <v>60</v>
      </c>
      <c r="D507" s="1">
        <v>42.5</v>
      </c>
      <c r="E507" s="2">
        <v>34.582965999999999</v>
      </c>
    </row>
    <row r="508" spans="1:5" x14ac:dyDescent="0.25">
      <c r="A508" t="s">
        <v>507</v>
      </c>
      <c r="B508" s="1">
        <v>53</v>
      </c>
      <c r="C508" s="1">
        <v>62</v>
      </c>
      <c r="D508" s="1">
        <v>43.5</v>
      </c>
      <c r="E508" s="2">
        <v>69.864966999999993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05AA-E059-4B5F-A286-6A8DE075ED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6B1542-C79D-461B-8A1E-2AFCD109B0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dish_carb_split_metadata (1)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Vestergaard</dc:creator>
  <cp:lastModifiedBy>Jonas Vestergaard</cp:lastModifiedBy>
  <dcterms:created xsi:type="dcterms:W3CDTF">2026-05-05T19:34:46Z</dcterms:created>
  <dcterms:modified xsi:type="dcterms:W3CDTF">2026-05-08T17:48:28Z</dcterms:modified>
</cp:coreProperties>
</file>